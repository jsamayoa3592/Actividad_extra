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fd91d8f861ca5279/Documentos/TDS/Introducción a la progra/"/>
    </mc:Choice>
  </mc:AlternateContent>
  <xr:revisionPtr revIDLastSave="216" documentId="8_{C381721E-D5C0-46D8-B597-8ED9B8D41044}" xr6:coauthVersionLast="47" xr6:coauthVersionMax="47" xr10:uidLastSave="{4B1E4C31-6675-44F3-9882-E3CF9A4906EF}"/>
  <bookViews>
    <workbookView xWindow="-108" yWindow="-108" windowWidth="23256" windowHeight="13896" xr2:uid="{A66AC5CD-809C-4BC9-9E9D-A31859A3514A}"/>
  </bookViews>
  <sheets>
    <sheet name="1" sheetId="1" r:id="rId1"/>
    <sheet name="2" sheetId="3" r:id="rId2"/>
    <sheet name="Hoja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F8" i="1" s="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6" i="1"/>
  <c r="F5" i="1"/>
  <c r="C11" i="3"/>
  <c r="F5" i="3"/>
  <c r="E5" i="3"/>
  <c r="AL5" i="3"/>
  <c r="Q5" i="3"/>
  <c r="C17" i="3"/>
  <c r="C16" i="3"/>
  <c r="C15" i="3"/>
  <c r="C14" i="3"/>
  <c r="H13" i="3"/>
  <c r="C13" i="3"/>
  <c r="C12" i="3"/>
  <c r="C10" i="3"/>
  <c r="C8" i="3"/>
  <c r="C7" i="3"/>
  <c r="C6" i="3"/>
  <c r="A6" i="3"/>
  <c r="A7" i="3" s="1"/>
  <c r="A8" i="3" s="1"/>
  <c r="A9" i="3" s="1"/>
  <c r="A10" i="3" s="1"/>
  <c r="A11" i="3" s="1"/>
  <c r="A12" i="3" s="1"/>
  <c r="A13" i="3" s="1"/>
  <c r="A14" i="3" s="1"/>
  <c r="A15" i="3" s="1"/>
  <c r="A16" i="3" s="1"/>
  <c r="A17" i="3" s="1"/>
  <c r="J5" i="3"/>
  <c r="I5" i="3"/>
  <c r="H6" i="3" s="1"/>
  <c r="C5" i="3"/>
  <c r="K3" i="3"/>
  <c r="I5" i="1"/>
  <c r="J5" i="1"/>
  <c r="K3" i="1"/>
  <c r="H13" i="1"/>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C5" i="1"/>
  <c r="C6" i="1"/>
  <c r="H6"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S5" i="3" l="1"/>
  <c r="R5" i="3"/>
  <c r="Q6" i="3" s="1"/>
  <c r="AN5" i="3"/>
  <c r="AM5" i="3"/>
  <c r="AL6" i="3" s="1"/>
  <c r="I6" i="3"/>
  <c r="H7" i="3" s="1"/>
  <c r="J6" i="3"/>
  <c r="N3" i="3"/>
  <c r="K4" i="3"/>
  <c r="N3" i="1"/>
  <c r="K4" i="1"/>
  <c r="K5" i="1" s="1"/>
  <c r="I6" i="1"/>
  <c r="H7" i="1" s="1"/>
  <c r="J6" i="1"/>
  <c r="AN6" i="3" l="1"/>
  <c r="AM6" i="3"/>
  <c r="AL7" i="3" s="1"/>
  <c r="S6" i="3"/>
  <c r="R6" i="3"/>
  <c r="Q7" i="3" s="1"/>
  <c r="I7" i="3"/>
  <c r="H8" i="3" s="1"/>
  <c r="J7" i="3"/>
  <c r="Q3" i="3"/>
  <c r="N4" i="3"/>
  <c r="K5" i="3"/>
  <c r="K13" i="3"/>
  <c r="M5" i="1"/>
  <c r="L5" i="1"/>
  <c r="Q3" i="1"/>
  <c r="N4" i="1"/>
  <c r="N5" i="1" s="1"/>
  <c r="K13" i="1"/>
  <c r="I7" i="1"/>
  <c r="H8" i="1" s="1"/>
  <c r="J7" i="1"/>
  <c r="AN7" i="3" l="1"/>
  <c r="AM7" i="3"/>
  <c r="AL8" i="3" s="1"/>
  <c r="R7" i="3"/>
  <c r="Q8" i="3" s="1"/>
  <c r="S7" i="3"/>
  <c r="I8" i="3"/>
  <c r="H9" i="3" s="1"/>
  <c r="J8" i="3"/>
  <c r="T3" i="3"/>
  <c r="Q4" i="3"/>
  <c r="Q13" i="3" s="1"/>
  <c r="N5" i="3"/>
  <c r="N13" i="3"/>
  <c r="M5" i="3"/>
  <c r="L5" i="3"/>
  <c r="K6" i="3" s="1"/>
  <c r="P5" i="1"/>
  <c r="O5" i="1"/>
  <c r="T3" i="1"/>
  <c r="Q4" i="1"/>
  <c r="N13" i="1"/>
  <c r="K6" i="1"/>
  <c r="I8" i="1"/>
  <c r="H9" i="1" s="1"/>
  <c r="J8" i="1"/>
  <c r="AN8" i="3" l="1"/>
  <c r="AM8" i="3"/>
  <c r="AL9" i="3" s="1"/>
  <c r="S8" i="3"/>
  <c r="R8" i="3"/>
  <c r="Q9" i="3" s="1"/>
  <c r="I9" i="3"/>
  <c r="H10" i="3" s="1"/>
  <c r="J9" i="3"/>
  <c r="W3" i="3"/>
  <c r="T4" i="3"/>
  <c r="O5" i="3"/>
  <c r="N6" i="3" s="1"/>
  <c r="P5" i="3"/>
  <c r="L6" i="3"/>
  <c r="K7" i="3" s="1"/>
  <c r="M6" i="3"/>
  <c r="S5" i="1"/>
  <c r="R5" i="1"/>
  <c r="I9" i="1"/>
  <c r="H10" i="1" s="1"/>
  <c r="J9" i="1"/>
  <c r="W3" i="1"/>
  <c r="T4" i="1"/>
  <c r="T5" i="1" s="1"/>
  <c r="Q13" i="1"/>
  <c r="N6" i="1"/>
  <c r="L6" i="1"/>
  <c r="K7" i="1" s="1"/>
  <c r="M6" i="1"/>
  <c r="AM9" i="3" l="1"/>
  <c r="AL10" i="3" s="1"/>
  <c r="AN9" i="3"/>
  <c r="S9" i="3"/>
  <c r="R9" i="3"/>
  <c r="Q10" i="3" s="1"/>
  <c r="AM10" i="3"/>
  <c r="AL11" i="3" s="1"/>
  <c r="AN10" i="3"/>
  <c r="I10" i="3"/>
  <c r="H11" i="3" s="1"/>
  <c r="J10" i="3"/>
  <c r="Z3" i="3"/>
  <c r="W4" i="3"/>
  <c r="T13" i="3"/>
  <c r="T5" i="3"/>
  <c r="O6" i="3"/>
  <c r="N7" i="3" s="1"/>
  <c r="P6" i="3"/>
  <c r="L7" i="3"/>
  <c r="K8" i="3" s="1"/>
  <c r="M7" i="3"/>
  <c r="I10" i="1"/>
  <c r="H11" i="1" s="1"/>
  <c r="J10" i="1"/>
  <c r="U5" i="1"/>
  <c r="V5" i="1"/>
  <c r="Z3" i="1"/>
  <c r="W4" i="1"/>
  <c r="W5" i="1" s="1"/>
  <c r="T13" i="1"/>
  <c r="Q6" i="1"/>
  <c r="P6" i="1"/>
  <c r="O6" i="1"/>
  <c r="N7" i="1" s="1"/>
  <c r="M7" i="1"/>
  <c r="L7" i="1"/>
  <c r="K8" i="1" s="1"/>
  <c r="R10" i="3" l="1"/>
  <c r="Q11" i="3" s="1"/>
  <c r="S10" i="3"/>
  <c r="AM11" i="3"/>
  <c r="AN11" i="3"/>
  <c r="AN13" i="3" s="1"/>
  <c r="E15" i="3" s="1"/>
  <c r="I11" i="3"/>
  <c r="J11" i="3"/>
  <c r="J13" i="3" s="1"/>
  <c r="AC3" i="3"/>
  <c r="Z4" i="3"/>
  <c r="W5" i="3"/>
  <c r="W13" i="3"/>
  <c r="V5" i="3"/>
  <c r="U5" i="3"/>
  <c r="T6" i="3" s="1"/>
  <c r="O7" i="3"/>
  <c r="N8" i="3" s="1"/>
  <c r="P7" i="3"/>
  <c r="L8" i="3"/>
  <c r="K9" i="3" s="1"/>
  <c r="M8" i="3"/>
  <c r="J11" i="1"/>
  <c r="J13" i="1" s="1"/>
  <c r="I11" i="1"/>
  <c r="Y5" i="1"/>
  <c r="X5" i="1"/>
  <c r="AC3" i="1"/>
  <c r="Z4" i="1"/>
  <c r="Z5" i="1" s="1"/>
  <c r="W13" i="1"/>
  <c r="T6" i="1"/>
  <c r="S6" i="1"/>
  <c r="R6" i="1"/>
  <c r="Q7" i="1" s="1"/>
  <c r="P7" i="1"/>
  <c r="O7" i="1"/>
  <c r="N8" i="1" s="1"/>
  <c r="M8" i="1"/>
  <c r="L8" i="1"/>
  <c r="K9" i="1" s="1"/>
  <c r="R11" i="3" l="1"/>
  <c r="S11" i="3"/>
  <c r="S13" i="3" s="1"/>
  <c r="E8" i="3" s="1"/>
  <c r="AF3" i="3"/>
  <c r="AC4" i="3"/>
  <c r="AA5" i="3"/>
  <c r="Z13" i="3"/>
  <c r="X5" i="3"/>
  <c r="W6" i="3" s="1"/>
  <c r="Y5" i="3"/>
  <c r="U6" i="3"/>
  <c r="T7" i="3" s="1"/>
  <c r="V6" i="3"/>
  <c r="O8" i="3"/>
  <c r="N9" i="3" s="1"/>
  <c r="P8" i="3"/>
  <c r="L9" i="3"/>
  <c r="K10" i="3" s="1"/>
  <c r="M9" i="3"/>
  <c r="AB5" i="1"/>
  <c r="AA5" i="1"/>
  <c r="AF3" i="1"/>
  <c r="AC4" i="1"/>
  <c r="AC5" i="1" s="1"/>
  <c r="Z13" i="1"/>
  <c r="W6" i="1"/>
  <c r="U6" i="1"/>
  <c r="T7" i="1" s="1"/>
  <c r="V6" i="1"/>
  <c r="S7" i="1"/>
  <c r="R7" i="1"/>
  <c r="Q8" i="1" s="1"/>
  <c r="P8" i="1"/>
  <c r="O8" i="1"/>
  <c r="N9" i="1" s="1"/>
  <c r="M9" i="1"/>
  <c r="L9" i="1"/>
  <c r="K10" i="1" s="1"/>
  <c r="AI3" i="3" l="1"/>
  <c r="AF4" i="3"/>
  <c r="AC5" i="3"/>
  <c r="AC13" i="3"/>
  <c r="Z6" i="3"/>
  <c r="AB5" i="3"/>
  <c r="X6" i="3"/>
  <c r="W7" i="3" s="1"/>
  <c r="Y6" i="3"/>
  <c r="U7" i="3"/>
  <c r="T8" i="3" s="1"/>
  <c r="V7" i="3"/>
  <c r="O9" i="3"/>
  <c r="N10" i="3" s="1"/>
  <c r="P9" i="3"/>
  <c r="L10" i="3"/>
  <c r="K11" i="3" s="1"/>
  <c r="M10" i="3"/>
  <c r="AE5" i="1"/>
  <c r="AD5" i="1"/>
  <c r="AI3" i="1"/>
  <c r="AF4" i="1"/>
  <c r="AF5" i="1" s="1"/>
  <c r="AC13" i="1"/>
  <c r="Z6" i="1"/>
  <c r="X6" i="1"/>
  <c r="W7" i="1" s="1"/>
  <c r="Y6" i="1"/>
  <c r="V7" i="1"/>
  <c r="U7" i="1"/>
  <c r="T8" i="1" s="1"/>
  <c r="S8" i="1"/>
  <c r="R8" i="1"/>
  <c r="Q9" i="1" s="1"/>
  <c r="P9" i="1"/>
  <c r="O9" i="1"/>
  <c r="N10" i="1" s="1"/>
  <c r="M10" i="1"/>
  <c r="L10" i="1"/>
  <c r="K11" i="1" s="1"/>
  <c r="AL3" i="3" l="1"/>
  <c r="AI4" i="3"/>
  <c r="AF13" i="3"/>
  <c r="AF5" i="3"/>
  <c r="AE5" i="3"/>
  <c r="AD5" i="3"/>
  <c r="AC6" i="3" s="1"/>
  <c r="AA6" i="3"/>
  <c r="Z7" i="3" s="1"/>
  <c r="AB6" i="3"/>
  <c r="X7" i="3"/>
  <c r="W8" i="3" s="1"/>
  <c r="Y7" i="3"/>
  <c r="U8" i="3"/>
  <c r="T9" i="3" s="1"/>
  <c r="V8" i="3"/>
  <c r="O10" i="3"/>
  <c r="N11" i="3" s="1"/>
  <c r="P10" i="3"/>
  <c r="L11" i="3"/>
  <c r="M11" i="3"/>
  <c r="M13" i="3" s="1"/>
  <c r="E6" i="3" s="1"/>
  <c r="F6" i="3" s="1"/>
  <c r="AH5" i="1"/>
  <c r="AG5" i="1"/>
  <c r="AL3" i="1"/>
  <c r="AI4" i="1"/>
  <c r="AI5" i="1" s="1"/>
  <c r="AF13" i="1"/>
  <c r="AC6" i="1"/>
  <c r="AB6" i="1"/>
  <c r="AA6" i="1"/>
  <c r="Z7" i="1" s="1"/>
  <c r="Y7" i="1"/>
  <c r="X7" i="1"/>
  <c r="W8" i="1" s="1"/>
  <c r="V8" i="1"/>
  <c r="U8" i="1"/>
  <c r="T9" i="1" s="1"/>
  <c r="S9" i="1"/>
  <c r="R9" i="1"/>
  <c r="Q10" i="1" s="1"/>
  <c r="P10" i="1"/>
  <c r="O10" i="1"/>
  <c r="N11" i="1" s="1"/>
  <c r="M11" i="1"/>
  <c r="M13" i="1" s="1"/>
  <c r="L11" i="1"/>
  <c r="AO3" i="3" l="1"/>
  <c r="AL13" i="3"/>
  <c r="AI5" i="3"/>
  <c r="AI13" i="3"/>
  <c r="AH5" i="3"/>
  <c r="AG5" i="3"/>
  <c r="AF6" i="3" s="1"/>
  <c r="AE6" i="3"/>
  <c r="AD6" i="3"/>
  <c r="AC7" i="3" s="1"/>
  <c r="AA7" i="3"/>
  <c r="Z8" i="3" s="1"/>
  <c r="AB7" i="3"/>
  <c r="X8" i="3"/>
  <c r="W9" i="3" s="1"/>
  <c r="Y8" i="3"/>
  <c r="U9" i="3"/>
  <c r="T10" i="3" s="1"/>
  <c r="V9" i="3"/>
  <c r="O11" i="3"/>
  <c r="P11" i="3"/>
  <c r="P13" i="3" s="1"/>
  <c r="E7" i="3" s="1"/>
  <c r="F7" i="3" s="1"/>
  <c r="F8" i="3" s="1"/>
  <c r="AK5" i="1"/>
  <c r="AJ5" i="1"/>
  <c r="AO3" i="1"/>
  <c r="AL4" i="1"/>
  <c r="AI13" i="1"/>
  <c r="AF6" i="1"/>
  <c r="AD6" i="1"/>
  <c r="AC7" i="1" s="1"/>
  <c r="AE6" i="1"/>
  <c r="AB7" i="1"/>
  <c r="AA7" i="1"/>
  <c r="Z8" i="1" s="1"/>
  <c r="Y8" i="1"/>
  <c r="X8" i="1"/>
  <c r="W9" i="1" s="1"/>
  <c r="V9" i="1"/>
  <c r="U9" i="1"/>
  <c r="T10" i="1" s="1"/>
  <c r="S10" i="1"/>
  <c r="R10" i="1"/>
  <c r="Q11" i="1" s="1"/>
  <c r="O11" i="1"/>
  <c r="P11" i="1"/>
  <c r="P13" i="1" s="1"/>
  <c r="AO4" i="3" l="1"/>
  <c r="AR3" i="3"/>
  <c r="AJ5" i="3"/>
  <c r="AI6" i="3" s="1"/>
  <c r="AK5" i="3"/>
  <c r="AG6" i="3"/>
  <c r="AF7" i="3" s="1"/>
  <c r="AH6" i="3"/>
  <c r="AD7" i="3"/>
  <c r="AC8" i="3" s="1"/>
  <c r="AE7" i="3"/>
  <c r="AA8" i="3"/>
  <c r="Z9" i="3" s="1"/>
  <c r="AB8" i="3"/>
  <c r="X9" i="3"/>
  <c r="W10" i="3" s="1"/>
  <c r="Y9" i="3"/>
  <c r="U10" i="3"/>
  <c r="T11" i="3" s="1"/>
  <c r="V10" i="3"/>
  <c r="AN5" i="1"/>
  <c r="AM5" i="1"/>
  <c r="AR3" i="1"/>
  <c r="AO4" i="1"/>
  <c r="AO5" i="1" s="1"/>
  <c r="AL13" i="1"/>
  <c r="AI6" i="1"/>
  <c r="AG6" i="1"/>
  <c r="AF7" i="1" s="1"/>
  <c r="AH6" i="1"/>
  <c r="AD7" i="1"/>
  <c r="AC8" i="1" s="1"/>
  <c r="AE7" i="1"/>
  <c r="AB8" i="1"/>
  <c r="AA8" i="1"/>
  <c r="Z9" i="1" s="1"/>
  <c r="Y9" i="1"/>
  <c r="X9" i="1"/>
  <c r="W10" i="1" s="1"/>
  <c r="U10" i="1"/>
  <c r="T11" i="1" s="1"/>
  <c r="V10" i="1"/>
  <c r="S11" i="1"/>
  <c r="S13" i="1" s="1"/>
  <c r="R11" i="1"/>
  <c r="AO5" i="3" l="1"/>
  <c r="AO13" i="3"/>
  <c r="AR4" i="3"/>
  <c r="AJ6" i="3"/>
  <c r="AI7" i="3" s="1"/>
  <c r="AK6" i="3"/>
  <c r="AG7" i="3"/>
  <c r="AF8" i="3" s="1"/>
  <c r="AH7" i="3"/>
  <c r="AD8" i="3"/>
  <c r="AC9" i="3" s="1"/>
  <c r="AE8" i="3"/>
  <c r="AA9" i="3"/>
  <c r="Z10" i="3" s="1"/>
  <c r="AB9" i="3"/>
  <c r="X10" i="3"/>
  <c r="W11" i="3" s="1"/>
  <c r="Y10" i="3"/>
  <c r="U11" i="3"/>
  <c r="V11" i="3"/>
  <c r="V13" i="3" s="1"/>
  <c r="E9" i="3" s="1"/>
  <c r="F9" i="3" s="1"/>
  <c r="AQ5" i="1"/>
  <c r="AP5" i="1"/>
  <c r="AU3" i="1"/>
  <c r="AR4" i="1"/>
  <c r="AR5" i="1" s="1"/>
  <c r="AO13" i="1"/>
  <c r="AL6" i="1"/>
  <c r="AK6" i="1"/>
  <c r="AJ6" i="1"/>
  <c r="AI7" i="1" s="1"/>
  <c r="AH7" i="1"/>
  <c r="AG7" i="1"/>
  <c r="AF8" i="1" s="1"/>
  <c r="AE8" i="1"/>
  <c r="AD8" i="1"/>
  <c r="AC9" i="1" s="1"/>
  <c r="AB9" i="1"/>
  <c r="AA9" i="1"/>
  <c r="Z10" i="1" s="1"/>
  <c r="Y10" i="1"/>
  <c r="X10" i="1"/>
  <c r="W11" i="1" s="1"/>
  <c r="V11" i="1"/>
  <c r="V13" i="1" s="1"/>
  <c r="U11" i="1"/>
  <c r="AP5" i="3" l="1"/>
  <c r="AO6" i="3" s="1"/>
  <c r="AQ5" i="3"/>
  <c r="AR5" i="3"/>
  <c r="AR13" i="3"/>
  <c r="AJ7" i="3"/>
  <c r="AI8" i="3" s="1"/>
  <c r="AK7" i="3"/>
  <c r="AG8" i="3"/>
  <c r="AF9" i="3" s="1"/>
  <c r="AH8" i="3"/>
  <c r="AD9" i="3"/>
  <c r="AC10" i="3" s="1"/>
  <c r="AE9" i="3"/>
  <c r="AA10" i="3"/>
  <c r="Z11" i="3" s="1"/>
  <c r="AB10" i="3"/>
  <c r="X11" i="3"/>
  <c r="Y11" i="3"/>
  <c r="Y13" i="3" s="1"/>
  <c r="E10" i="3" s="1"/>
  <c r="F10" i="3" s="1"/>
  <c r="AT5" i="1"/>
  <c r="AS5" i="1"/>
  <c r="AX3" i="1"/>
  <c r="AU4" i="1"/>
  <c r="AU5" i="1" s="1"/>
  <c r="AR13" i="1"/>
  <c r="AO6" i="1"/>
  <c r="AN6" i="1"/>
  <c r="AM6" i="1"/>
  <c r="AL7" i="1" s="1"/>
  <c r="AK7" i="1"/>
  <c r="AJ7" i="1"/>
  <c r="AI8" i="1" s="1"/>
  <c r="AH8" i="1"/>
  <c r="AG8" i="1"/>
  <c r="AF9" i="1" s="1"/>
  <c r="AE9" i="1"/>
  <c r="AD9" i="1"/>
  <c r="AC10" i="1" s="1"/>
  <c r="AB10" i="1"/>
  <c r="AA10" i="1"/>
  <c r="Z11" i="1" s="1"/>
  <c r="Y11" i="1"/>
  <c r="Y13" i="1" s="1"/>
  <c r="X11" i="1"/>
  <c r="AP6" i="3" l="1"/>
  <c r="AO7" i="3" s="1"/>
  <c r="AQ6" i="3"/>
  <c r="AS5" i="3"/>
  <c r="AR6" i="3" s="1"/>
  <c r="AT5" i="3"/>
  <c r="AJ8" i="3"/>
  <c r="AI9" i="3" s="1"/>
  <c r="AK8" i="3"/>
  <c r="AG9" i="3"/>
  <c r="AF10" i="3" s="1"/>
  <c r="AH9" i="3"/>
  <c r="AD10" i="3"/>
  <c r="AC11" i="3" s="1"/>
  <c r="AE10" i="3"/>
  <c r="AA11" i="3"/>
  <c r="AB11" i="3"/>
  <c r="AB13" i="3" s="1"/>
  <c r="E11" i="3" s="1"/>
  <c r="F11" i="3" s="1"/>
  <c r="AW5" i="1"/>
  <c r="AV5" i="1"/>
  <c r="BA3" i="1"/>
  <c r="AX4" i="1"/>
  <c r="AU13" i="1"/>
  <c r="AR6" i="1"/>
  <c r="AQ6" i="1"/>
  <c r="AP6" i="1"/>
  <c r="AO7" i="1" s="1"/>
  <c r="AN7" i="1"/>
  <c r="AM7" i="1"/>
  <c r="AL8" i="1" s="1"/>
  <c r="AK8" i="1"/>
  <c r="AJ8" i="1"/>
  <c r="AI9" i="1" s="1"/>
  <c r="AH9" i="1"/>
  <c r="AG9" i="1"/>
  <c r="AF10" i="1" s="1"/>
  <c r="AE10" i="1"/>
  <c r="AD10" i="1"/>
  <c r="AC11" i="1" s="1"/>
  <c r="AB11" i="1"/>
  <c r="AB13" i="1" s="1"/>
  <c r="AA11" i="1"/>
  <c r="AP7" i="3" l="1"/>
  <c r="AO8" i="3" s="1"/>
  <c r="AQ7" i="3"/>
  <c r="AS6" i="3"/>
  <c r="AR7" i="3" s="1"/>
  <c r="AT6" i="3"/>
  <c r="AJ9" i="3"/>
  <c r="AI10" i="3" s="1"/>
  <c r="AK9" i="3"/>
  <c r="AG10" i="3"/>
  <c r="AF11" i="3" s="1"/>
  <c r="AH10" i="3"/>
  <c r="AD11" i="3"/>
  <c r="AE11" i="3"/>
  <c r="AE13" i="3" s="1"/>
  <c r="E12" i="3" s="1"/>
  <c r="F12" i="3" s="1"/>
  <c r="AZ5" i="1"/>
  <c r="AY5" i="1"/>
  <c r="BD3" i="1"/>
  <c r="BA4" i="1"/>
  <c r="BA5" i="1" s="1"/>
  <c r="AX13" i="1"/>
  <c r="AU6" i="1"/>
  <c r="AT6" i="1"/>
  <c r="AS6" i="1"/>
  <c r="AR7" i="1" s="1"/>
  <c r="AQ7" i="1"/>
  <c r="AP7" i="1"/>
  <c r="AO8" i="1" s="1"/>
  <c r="AN8" i="1"/>
  <c r="AM8" i="1"/>
  <c r="AL9" i="1" s="1"/>
  <c r="AK9" i="1"/>
  <c r="AJ9" i="1"/>
  <c r="AI10" i="1" s="1"/>
  <c r="AH10" i="1"/>
  <c r="AG10" i="1"/>
  <c r="AF11" i="1" s="1"/>
  <c r="AD11" i="1"/>
  <c r="AE11" i="1"/>
  <c r="AE13" i="1" s="1"/>
  <c r="AP8" i="3" l="1"/>
  <c r="AO9" i="3" s="1"/>
  <c r="AQ8" i="3"/>
  <c r="AS7" i="3"/>
  <c r="AR8" i="3" s="1"/>
  <c r="AT7" i="3"/>
  <c r="AJ10" i="3"/>
  <c r="AI11" i="3" s="1"/>
  <c r="AK10" i="3"/>
  <c r="AG11" i="3"/>
  <c r="AH11" i="3"/>
  <c r="AH13" i="3" s="1"/>
  <c r="E13" i="3" s="1"/>
  <c r="F13" i="3" s="1"/>
  <c r="BC5" i="1"/>
  <c r="BB5" i="1"/>
  <c r="BG3" i="1"/>
  <c r="BD4" i="1"/>
  <c r="BD5" i="1" s="1"/>
  <c r="BA13" i="1"/>
  <c r="AX6" i="1"/>
  <c r="AV6" i="1"/>
  <c r="AU7" i="1" s="1"/>
  <c r="AW6" i="1"/>
  <c r="AT7" i="1"/>
  <c r="AS7" i="1"/>
  <c r="AR8" i="1" s="1"/>
  <c r="AQ8" i="1"/>
  <c r="AP8" i="1"/>
  <c r="AO9" i="1" s="1"/>
  <c r="AN9" i="1"/>
  <c r="AM9" i="1"/>
  <c r="AL10" i="1" s="1"/>
  <c r="AK10" i="1"/>
  <c r="AJ10" i="1"/>
  <c r="AI11" i="1" s="1"/>
  <c r="AG11" i="1"/>
  <c r="AH11" i="1"/>
  <c r="AH13" i="1" s="1"/>
  <c r="AP9" i="3" l="1"/>
  <c r="AO10" i="3" s="1"/>
  <c r="AQ9" i="3"/>
  <c r="AS8" i="3"/>
  <c r="AR9" i="3" s="1"/>
  <c r="AT8" i="3"/>
  <c r="AJ11" i="3"/>
  <c r="AK11" i="3"/>
  <c r="AK13" i="3" s="1"/>
  <c r="E14" i="3" s="1"/>
  <c r="F14" i="3" s="1"/>
  <c r="F15" i="3" s="1"/>
  <c r="BF5" i="1"/>
  <c r="BE5" i="1"/>
  <c r="BJ3" i="1"/>
  <c r="BG4" i="1"/>
  <c r="BG5" i="1" s="1"/>
  <c r="BD13" i="1"/>
  <c r="BA6" i="1"/>
  <c r="AZ6" i="1"/>
  <c r="AY6" i="1"/>
  <c r="AX7" i="1" s="1"/>
  <c r="AW7" i="1"/>
  <c r="AV7" i="1"/>
  <c r="AU8" i="1" s="1"/>
  <c r="AT8" i="1"/>
  <c r="AS8" i="1"/>
  <c r="AR9" i="1" s="1"/>
  <c r="AQ9" i="1"/>
  <c r="AP9" i="1"/>
  <c r="AO10" i="1" s="1"/>
  <c r="AN10" i="1"/>
  <c r="AM10" i="1"/>
  <c r="AL11" i="1" s="1"/>
  <c r="AJ11" i="1"/>
  <c r="AK11" i="1"/>
  <c r="AK13" i="1" s="1"/>
  <c r="AP10" i="3" l="1"/>
  <c r="AO11" i="3" s="1"/>
  <c r="AQ10" i="3"/>
  <c r="AS9" i="3"/>
  <c r="AR10" i="3" s="1"/>
  <c r="AT9" i="3"/>
  <c r="BI5" i="1"/>
  <c r="BH5" i="1"/>
  <c r="BM3" i="1"/>
  <c r="BJ4" i="1"/>
  <c r="BJ5" i="1" s="1"/>
  <c r="BG13" i="1"/>
  <c r="BD6" i="1"/>
  <c r="BC6" i="1"/>
  <c r="BB6" i="1"/>
  <c r="BA7" i="1" s="1"/>
  <c r="AZ7" i="1"/>
  <c r="AY7" i="1"/>
  <c r="AX8" i="1" s="1"/>
  <c r="AW8" i="1"/>
  <c r="AV8" i="1"/>
  <c r="AU9" i="1" s="1"/>
  <c r="AT9" i="1"/>
  <c r="AS9" i="1"/>
  <c r="AR10" i="1" s="1"/>
  <c r="AQ10" i="1"/>
  <c r="AP10" i="1"/>
  <c r="AO11" i="1" s="1"/>
  <c r="AN11" i="1"/>
  <c r="AN13" i="1" s="1"/>
  <c r="AM11" i="1"/>
  <c r="AP11" i="3" l="1"/>
  <c r="AQ11" i="3"/>
  <c r="AQ13" i="3" s="1"/>
  <c r="E16" i="3" s="1"/>
  <c r="F16" i="3" s="1"/>
  <c r="AS10" i="3"/>
  <c r="AR11" i="3" s="1"/>
  <c r="AT10" i="3"/>
  <c r="BL5" i="1"/>
  <c r="BK5" i="1"/>
  <c r="BP3" i="1"/>
  <c r="BM4" i="1"/>
  <c r="BM5" i="1" s="1"/>
  <c r="BJ13" i="1"/>
  <c r="BG6" i="1"/>
  <c r="BF6" i="1"/>
  <c r="BE6" i="1"/>
  <c r="BD7" i="1" s="1"/>
  <c r="BC7" i="1"/>
  <c r="BB7" i="1"/>
  <c r="BA8" i="1" s="1"/>
  <c r="AZ8" i="1"/>
  <c r="AY8" i="1"/>
  <c r="AX9" i="1" s="1"/>
  <c r="AW9" i="1"/>
  <c r="AV9" i="1"/>
  <c r="AU10" i="1" s="1"/>
  <c r="AT10" i="1"/>
  <c r="AS10" i="1"/>
  <c r="AR11" i="1" s="1"/>
  <c r="AQ11" i="1"/>
  <c r="AQ13" i="1" s="1"/>
  <c r="AP11" i="1"/>
  <c r="AS11" i="3" l="1"/>
  <c r="AT11" i="3"/>
  <c r="AT13" i="3" s="1"/>
  <c r="E17" i="3" s="1"/>
  <c r="F17" i="3" s="1"/>
  <c r="BO5" i="1"/>
  <c r="BN5" i="1"/>
  <c r="BS3" i="1"/>
  <c r="BP4" i="1"/>
  <c r="BP5" i="1" s="1"/>
  <c r="BM13" i="1"/>
  <c r="BJ6" i="1"/>
  <c r="BI6" i="1"/>
  <c r="BH6" i="1"/>
  <c r="BG7" i="1" s="1"/>
  <c r="BF7" i="1"/>
  <c r="BE7" i="1"/>
  <c r="BD8" i="1" s="1"/>
  <c r="BC8" i="1"/>
  <c r="BB8" i="1"/>
  <c r="BA9" i="1" s="1"/>
  <c r="AZ9" i="1"/>
  <c r="AY9" i="1"/>
  <c r="AX10" i="1" s="1"/>
  <c r="AW10" i="1"/>
  <c r="AV10" i="1"/>
  <c r="AU11" i="1" s="1"/>
  <c r="AT11" i="1"/>
  <c r="AT13" i="1" s="1"/>
  <c r="AS11" i="1"/>
  <c r="BR5" i="1" l="1"/>
  <c r="BQ5" i="1"/>
  <c r="BV3" i="1"/>
  <c r="BS4" i="1"/>
  <c r="BP13" i="1"/>
  <c r="BM6" i="1"/>
  <c r="BL6" i="1"/>
  <c r="BK6" i="1"/>
  <c r="BJ7" i="1" s="1"/>
  <c r="BI7" i="1"/>
  <c r="BH7" i="1"/>
  <c r="BG8" i="1" s="1"/>
  <c r="BF8" i="1"/>
  <c r="BE8" i="1"/>
  <c r="BD9" i="1" s="1"/>
  <c r="BC9" i="1"/>
  <c r="BB9" i="1"/>
  <c r="BA10" i="1" s="1"/>
  <c r="AZ10" i="1"/>
  <c r="AY10" i="1"/>
  <c r="AX11" i="1" s="1"/>
  <c r="AV11" i="1"/>
  <c r="AW11" i="1"/>
  <c r="AW13" i="1" s="1"/>
  <c r="BU5" i="1" l="1"/>
  <c r="BT5" i="1"/>
  <c r="BY3" i="1"/>
  <c r="BV4" i="1"/>
  <c r="BV5" i="1" s="1"/>
  <c r="BS13" i="1"/>
  <c r="BP6" i="1"/>
  <c r="BO6" i="1"/>
  <c r="BN6" i="1"/>
  <c r="BM7" i="1" s="1"/>
  <c r="BK7" i="1"/>
  <c r="BJ8" i="1" s="1"/>
  <c r="BL7" i="1"/>
  <c r="BI8" i="1"/>
  <c r="BH8" i="1"/>
  <c r="BG9" i="1" s="1"/>
  <c r="BF9" i="1"/>
  <c r="BE9" i="1"/>
  <c r="BD10" i="1" s="1"/>
  <c r="BC10" i="1"/>
  <c r="BB10" i="1"/>
  <c r="BA11" i="1" s="1"/>
  <c r="AZ11" i="1"/>
  <c r="AZ13" i="1" s="1"/>
  <c r="AY11" i="1"/>
  <c r="BX5" i="1" l="1"/>
  <c r="BW5" i="1"/>
  <c r="CB3" i="1"/>
  <c r="BY4" i="1"/>
  <c r="BY5" i="1" s="1"/>
  <c r="BV13" i="1"/>
  <c r="BS6" i="1"/>
  <c r="BR6" i="1"/>
  <c r="BQ6" i="1"/>
  <c r="BP7" i="1" s="1"/>
  <c r="BN7" i="1"/>
  <c r="BM8" i="1" s="1"/>
  <c r="BO7" i="1"/>
  <c r="BL8" i="1"/>
  <c r="BK8" i="1"/>
  <c r="BJ9" i="1" s="1"/>
  <c r="BI9" i="1"/>
  <c r="BH9" i="1"/>
  <c r="BG10" i="1" s="1"/>
  <c r="BF10" i="1"/>
  <c r="BE10" i="1"/>
  <c r="BD11" i="1" s="1"/>
  <c r="BB11" i="1"/>
  <c r="BC11" i="1"/>
  <c r="BC13" i="1" s="1"/>
  <c r="CA5" i="1" l="1"/>
  <c r="BZ5" i="1"/>
  <c r="CE3" i="1"/>
  <c r="CB4" i="1"/>
  <c r="CB5" i="1" s="1"/>
  <c r="BY13" i="1"/>
  <c r="BV6" i="1"/>
  <c r="BU6" i="1"/>
  <c r="BT6" i="1"/>
  <c r="BS7" i="1" s="1"/>
  <c r="BQ7" i="1"/>
  <c r="BP8" i="1" s="1"/>
  <c r="BR7" i="1"/>
  <c r="BO8" i="1"/>
  <c r="BN8" i="1"/>
  <c r="BM9" i="1" s="1"/>
  <c r="BL9" i="1"/>
  <c r="BK9" i="1"/>
  <c r="BJ10" i="1" s="1"/>
  <c r="BI10" i="1"/>
  <c r="BH10" i="1"/>
  <c r="BG11" i="1" s="1"/>
  <c r="BE11" i="1"/>
  <c r="BF11" i="1"/>
  <c r="BF13" i="1" s="1"/>
  <c r="CD5" i="1" l="1"/>
  <c r="CC5" i="1"/>
  <c r="CH3" i="1"/>
  <c r="CE4" i="1"/>
  <c r="CE5" i="1" s="1"/>
  <c r="CB13" i="1"/>
  <c r="BY6" i="1"/>
  <c r="BX6" i="1"/>
  <c r="BW6" i="1"/>
  <c r="BV7" i="1" s="1"/>
  <c r="BT7" i="1"/>
  <c r="BS8" i="1" s="1"/>
  <c r="BU7" i="1"/>
  <c r="BR8" i="1"/>
  <c r="BQ8" i="1"/>
  <c r="BP9" i="1" s="1"/>
  <c r="BO9" i="1"/>
  <c r="BN9" i="1"/>
  <c r="BM10" i="1" s="1"/>
  <c r="BL10" i="1"/>
  <c r="BK10" i="1"/>
  <c r="BJ11" i="1" s="1"/>
  <c r="BH11" i="1"/>
  <c r="BI11" i="1"/>
  <c r="BI13" i="1" s="1"/>
  <c r="CG5" i="1" l="1"/>
  <c r="CF5" i="1"/>
  <c r="CK3" i="1"/>
  <c r="CH4" i="1"/>
  <c r="CH5" i="1" s="1"/>
  <c r="CE13" i="1"/>
  <c r="CB6" i="1"/>
  <c r="CA6" i="1"/>
  <c r="BZ6" i="1"/>
  <c r="BY7" i="1" s="1"/>
  <c r="BW7" i="1"/>
  <c r="BV8" i="1" s="1"/>
  <c r="BX7" i="1"/>
  <c r="BU8" i="1"/>
  <c r="BT8" i="1"/>
  <c r="BS9" i="1" s="1"/>
  <c r="BR9" i="1"/>
  <c r="BQ9" i="1"/>
  <c r="BP10" i="1" s="1"/>
  <c r="BO10" i="1"/>
  <c r="BN10" i="1"/>
  <c r="BM11" i="1" s="1"/>
  <c r="BL11" i="1"/>
  <c r="BL13" i="1" s="1"/>
  <c r="BK11" i="1"/>
  <c r="CJ5" i="1" l="1"/>
  <c r="CI5" i="1"/>
  <c r="CN3" i="1"/>
  <c r="CK4" i="1"/>
  <c r="CK5" i="1" s="1"/>
  <c r="CH13" i="1"/>
  <c r="CE6" i="1"/>
  <c r="CD6" i="1"/>
  <c r="CC6" i="1"/>
  <c r="CB7" i="1" s="1"/>
  <c r="BZ7" i="1"/>
  <c r="BY8" i="1" s="1"/>
  <c r="CA7" i="1"/>
  <c r="BX8" i="1"/>
  <c r="BW8" i="1"/>
  <c r="BV9" i="1" s="1"/>
  <c r="BU9" i="1"/>
  <c r="BT9" i="1"/>
  <c r="BS10" i="1" s="1"/>
  <c r="BR10" i="1"/>
  <c r="BQ10" i="1"/>
  <c r="BP11" i="1" s="1"/>
  <c r="BO11" i="1"/>
  <c r="BO13" i="1" s="1"/>
  <c r="BN11" i="1"/>
  <c r="CM5" i="1" l="1"/>
  <c r="CL5" i="1"/>
  <c r="CQ3" i="1"/>
  <c r="CN4" i="1"/>
  <c r="CN5" i="1" s="1"/>
  <c r="CK13" i="1"/>
  <c r="CH6" i="1"/>
  <c r="CG6" i="1"/>
  <c r="CF6" i="1"/>
  <c r="CE7" i="1" s="1"/>
  <c r="CC7" i="1"/>
  <c r="CB8" i="1" s="1"/>
  <c r="CD7" i="1"/>
  <c r="CA8" i="1"/>
  <c r="BZ8" i="1"/>
  <c r="BY9" i="1" s="1"/>
  <c r="BX9" i="1"/>
  <c r="BW9" i="1"/>
  <c r="BV10" i="1" s="1"/>
  <c r="BT10" i="1"/>
  <c r="BS11" i="1" s="1"/>
  <c r="BU10" i="1"/>
  <c r="BQ11" i="1"/>
  <c r="BR11" i="1"/>
  <c r="BR13" i="1" s="1"/>
  <c r="CP5" i="1" l="1"/>
  <c r="CO5" i="1"/>
  <c r="CT3" i="1"/>
  <c r="CQ4" i="1"/>
  <c r="CQ5" i="1" s="1"/>
  <c r="CN13" i="1"/>
  <c r="CK6" i="1"/>
  <c r="CJ6" i="1"/>
  <c r="CI6" i="1"/>
  <c r="CH7" i="1" s="1"/>
  <c r="CG7" i="1"/>
  <c r="CF7" i="1"/>
  <c r="CE8" i="1" s="1"/>
  <c r="CD8" i="1"/>
  <c r="CC8" i="1"/>
  <c r="CB9" i="1" s="1"/>
  <c r="CA9" i="1"/>
  <c r="BZ9" i="1"/>
  <c r="BY10" i="1" s="1"/>
  <c r="BX10" i="1"/>
  <c r="BW10" i="1"/>
  <c r="BV11" i="1" s="1"/>
  <c r="BT11" i="1"/>
  <c r="BU11" i="1"/>
  <c r="BU13" i="1" s="1"/>
  <c r="CS5" i="1" l="1"/>
  <c r="CR5" i="1"/>
  <c r="CW3" i="1"/>
  <c r="CT4" i="1"/>
  <c r="CT5" i="1" s="1"/>
  <c r="CQ13" i="1"/>
  <c r="CN6" i="1"/>
  <c r="CM6" i="1"/>
  <c r="CL6" i="1"/>
  <c r="CK7" i="1" s="1"/>
  <c r="CJ7" i="1"/>
  <c r="CI7" i="1"/>
  <c r="CH8" i="1" s="1"/>
  <c r="CG8" i="1"/>
  <c r="CF8" i="1"/>
  <c r="CE9" i="1" s="1"/>
  <c r="CD9" i="1"/>
  <c r="CC9" i="1"/>
  <c r="CB10" i="1" s="1"/>
  <c r="CA10" i="1"/>
  <c r="BZ10" i="1"/>
  <c r="BY11" i="1" s="1"/>
  <c r="BX11" i="1"/>
  <c r="BX13" i="1" s="1"/>
  <c r="BW11" i="1"/>
  <c r="CU5" i="1" l="1"/>
  <c r="CV5" i="1"/>
  <c r="CZ3" i="1"/>
  <c r="CW4" i="1"/>
  <c r="CT13" i="1"/>
  <c r="CQ6" i="1"/>
  <c r="CP6" i="1"/>
  <c r="CO6" i="1"/>
  <c r="CN7" i="1" s="1"/>
  <c r="CM7" i="1"/>
  <c r="CL7" i="1"/>
  <c r="CK8" i="1" s="1"/>
  <c r="CJ8" i="1"/>
  <c r="CI8" i="1"/>
  <c r="CH9" i="1" s="1"/>
  <c r="CG9" i="1"/>
  <c r="CF9" i="1"/>
  <c r="CE10" i="1" s="1"/>
  <c r="CC10" i="1"/>
  <c r="CB11" i="1" s="1"/>
  <c r="CD10" i="1"/>
  <c r="CA11" i="1"/>
  <c r="CA13" i="1" s="1"/>
  <c r="BZ11" i="1"/>
  <c r="CY5" i="1" l="1"/>
  <c r="CX5" i="1"/>
  <c r="DC3" i="1"/>
  <c r="CZ4" i="1"/>
  <c r="CZ5" i="1" s="1"/>
  <c r="CW13" i="1"/>
  <c r="CT6" i="1"/>
  <c r="CS6" i="1"/>
  <c r="CR6" i="1"/>
  <c r="CQ7" i="1" s="1"/>
  <c r="CP7" i="1"/>
  <c r="CO7" i="1"/>
  <c r="CN8" i="1" s="1"/>
  <c r="CM8" i="1"/>
  <c r="CL8" i="1"/>
  <c r="CK9" i="1" s="1"/>
  <c r="CJ9" i="1"/>
  <c r="CI9" i="1"/>
  <c r="CH10" i="1" s="1"/>
  <c r="CF10" i="1"/>
  <c r="CE11" i="1" s="1"/>
  <c r="CG10" i="1"/>
  <c r="CD11" i="1"/>
  <c r="CD13" i="1" s="1"/>
  <c r="CC11" i="1"/>
  <c r="DB5" i="1" l="1"/>
  <c r="DA5" i="1"/>
  <c r="DF3" i="1"/>
  <c r="DC4" i="1"/>
  <c r="DC5" i="1" s="1"/>
  <c r="CZ13" i="1"/>
  <c r="CW6" i="1"/>
  <c r="CV6" i="1"/>
  <c r="CU6" i="1"/>
  <c r="CT7" i="1" s="1"/>
  <c r="CS7" i="1"/>
  <c r="CR7" i="1"/>
  <c r="CQ8" i="1" s="1"/>
  <c r="CP8" i="1"/>
  <c r="CO8" i="1"/>
  <c r="CN9" i="1" s="1"/>
  <c r="CM9" i="1"/>
  <c r="CL9" i="1"/>
  <c r="CK10" i="1" s="1"/>
  <c r="CJ10" i="1"/>
  <c r="CI10" i="1"/>
  <c r="CH11" i="1" s="1"/>
  <c r="CG11" i="1"/>
  <c r="CG13" i="1" s="1"/>
  <c r="CF11" i="1"/>
  <c r="DE5" i="1" l="1"/>
  <c r="DD5" i="1"/>
  <c r="DI3" i="1"/>
  <c r="DF4" i="1"/>
  <c r="DF5" i="1" s="1"/>
  <c r="DC13" i="1"/>
  <c r="CZ6" i="1"/>
  <c r="CY6" i="1"/>
  <c r="CX6" i="1"/>
  <c r="CW7" i="1" s="1"/>
  <c r="CV7" i="1"/>
  <c r="CU7" i="1"/>
  <c r="CT8" i="1" s="1"/>
  <c r="CS8" i="1"/>
  <c r="CR8" i="1"/>
  <c r="CQ9" i="1" s="1"/>
  <c r="CP9" i="1"/>
  <c r="CO9" i="1"/>
  <c r="CN10" i="1" s="1"/>
  <c r="CM10" i="1"/>
  <c r="CL10" i="1"/>
  <c r="CK11" i="1" s="1"/>
  <c r="CJ11" i="1"/>
  <c r="CJ13" i="1" s="1"/>
  <c r="CI11" i="1"/>
  <c r="DG5" i="1" l="1"/>
  <c r="DH5" i="1"/>
  <c r="DL3" i="1"/>
  <c r="DI4" i="1"/>
  <c r="DI5" i="1" s="1"/>
  <c r="DF13" i="1"/>
  <c r="DC6" i="1"/>
  <c r="DB6" i="1"/>
  <c r="DA6" i="1"/>
  <c r="CZ7" i="1" s="1"/>
  <c r="CY7" i="1"/>
  <c r="CX7" i="1"/>
  <c r="CW8" i="1" s="1"/>
  <c r="CV8" i="1"/>
  <c r="CU8" i="1"/>
  <c r="CT9" i="1" s="1"/>
  <c r="CS9" i="1"/>
  <c r="CR9" i="1"/>
  <c r="CQ10" i="1" s="1"/>
  <c r="CP10" i="1"/>
  <c r="CO10" i="1"/>
  <c r="CN11" i="1" s="1"/>
  <c r="CM11" i="1"/>
  <c r="CM13" i="1" s="1"/>
  <c r="CL11" i="1"/>
  <c r="DK5" i="1" l="1"/>
  <c r="DJ5" i="1"/>
  <c r="DO3" i="1"/>
  <c r="DL4" i="1"/>
  <c r="DL5" i="1" s="1"/>
  <c r="DI13" i="1"/>
  <c r="DF6" i="1"/>
  <c r="DE6" i="1"/>
  <c r="DD6" i="1"/>
  <c r="DC7" i="1" s="1"/>
  <c r="DB7" i="1"/>
  <c r="DA7" i="1"/>
  <c r="CZ8" i="1" s="1"/>
  <c r="CY8" i="1"/>
  <c r="CX8" i="1"/>
  <c r="CW9" i="1" s="1"/>
  <c r="CV9" i="1"/>
  <c r="CU9" i="1"/>
  <c r="CT10" i="1" s="1"/>
  <c r="CS10" i="1"/>
  <c r="CR10" i="1"/>
  <c r="CQ11" i="1" s="1"/>
  <c r="CP11" i="1"/>
  <c r="CP13" i="1" s="1"/>
  <c r="CO11" i="1"/>
  <c r="DN5" i="1" l="1"/>
  <c r="DM5" i="1"/>
  <c r="DR3" i="1"/>
  <c r="DO4" i="1"/>
  <c r="DO5" i="1" s="1"/>
  <c r="DL13" i="1"/>
  <c r="DI6" i="1"/>
  <c r="DH6" i="1"/>
  <c r="DG6" i="1"/>
  <c r="DF7" i="1" s="1"/>
  <c r="DE7" i="1"/>
  <c r="DD7" i="1"/>
  <c r="DC8" i="1" s="1"/>
  <c r="DB8" i="1"/>
  <c r="DA8" i="1"/>
  <c r="CZ9" i="1" s="1"/>
  <c r="CY9" i="1"/>
  <c r="CX9" i="1"/>
  <c r="CW10" i="1" s="1"/>
  <c r="CV10" i="1"/>
  <c r="CU10" i="1"/>
  <c r="CT11" i="1" s="1"/>
  <c r="CS11" i="1"/>
  <c r="CS13" i="1" s="1"/>
  <c r="CR11" i="1"/>
  <c r="DQ5" i="1" l="1"/>
  <c r="DP5" i="1"/>
  <c r="DU3" i="1"/>
  <c r="DR4" i="1"/>
  <c r="DR5" i="1" s="1"/>
  <c r="DO13" i="1"/>
  <c r="DL6" i="1"/>
  <c r="DK6" i="1"/>
  <c r="DJ6" i="1"/>
  <c r="DI7" i="1" s="1"/>
  <c r="DH7" i="1"/>
  <c r="DG7" i="1"/>
  <c r="DF8" i="1" s="1"/>
  <c r="DE8" i="1"/>
  <c r="DD8" i="1"/>
  <c r="DC9" i="1" s="1"/>
  <c r="DB9" i="1"/>
  <c r="DA9" i="1"/>
  <c r="CZ10" i="1" s="1"/>
  <c r="CX10" i="1"/>
  <c r="CW11" i="1" s="1"/>
  <c r="CY10" i="1"/>
  <c r="CU11" i="1"/>
  <c r="CV11" i="1"/>
  <c r="CV13" i="1" s="1"/>
  <c r="DT5" i="1" l="1"/>
  <c r="DS5" i="1"/>
  <c r="DX3" i="1"/>
  <c r="DU4" i="1"/>
  <c r="DU5" i="1" s="1"/>
  <c r="DR13" i="1"/>
  <c r="DO6" i="1"/>
  <c r="DN6" i="1"/>
  <c r="DM6" i="1"/>
  <c r="DL7" i="1" s="1"/>
  <c r="DK7" i="1"/>
  <c r="DJ7" i="1"/>
  <c r="DI8" i="1" s="1"/>
  <c r="DH8" i="1"/>
  <c r="DG8" i="1"/>
  <c r="DF9" i="1" s="1"/>
  <c r="DE9" i="1"/>
  <c r="DD9" i="1"/>
  <c r="DC10" i="1" s="1"/>
  <c r="DB10" i="1"/>
  <c r="DA10" i="1"/>
  <c r="CZ11" i="1" s="1"/>
  <c r="CX11" i="1"/>
  <c r="CY11" i="1"/>
  <c r="CY13" i="1" s="1"/>
  <c r="DW5" i="1" l="1"/>
  <c r="DV5" i="1"/>
  <c r="EA3" i="1"/>
  <c r="DX4" i="1"/>
  <c r="DX5" i="1" s="1"/>
  <c r="DU13" i="1"/>
  <c r="DR6" i="1"/>
  <c r="DQ6" i="1"/>
  <c r="DP6" i="1"/>
  <c r="DO7" i="1" s="1"/>
  <c r="DN7" i="1"/>
  <c r="DM7" i="1"/>
  <c r="DL8" i="1" s="1"/>
  <c r="DK8" i="1"/>
  <c r="DJ8" i="1"/>
  <c r="DI9" i="1" s="1"/>
  <c r="DH9" i="1"/>
  <c r="DG9" i="1"/>
  <c r="DF10" i="1" s="1"/>
  <c r="DD10" i="1"/>
  <c r="DC11" i="1" s="1"/>
  <c r="DE10" i="1"/>
  <c r="DA11" i="1"/>
  <c r="DB11" i="1"/>
  <c r="DB13" i="1" s="1"/>
  <c r="DZ5" i="1" l="1"/>
  <c r="DY5" i="1"/>
  <c r="ED3" i="1"/>
  <c r="EA4" i="1"/>
  <c r="EA5" i="1" s="1"/>
  <c r="DX13" i="1"/>
  <c r="DU6" i="1"/>
  <c r="DT6" i="1"/>
  <c r="DS6" i="1"/>
  <c r="DR7" i="1" s="1"/>
  <c r="DQ7" i="1"/>
  <c r="DP7" i="1"/>
  <c r="DO8" i="1" s="1"/>
  <c r="DN8" i="1"/>
  <c r="DM8" i="1"/>
  <c r="DL9" i="1" s="1"/>
  <c r="DK9" i="1"/>
  <c r="DJ9" i="1"/>
  <c r="DI10" i="1" s="1"/>
  <c r="DG10" i="1"/>
  <c r="DF11" i="1" s="1"/>
  <c r="DH10" i="1"/>
  <c r="DE11" i="1"/>
  <c r="DE13" i="1" s="1"/>
  <c r="DD11" i="1"/>
  <c r="EC5" i="1" l="1"/>
  <c r="EB5" i="1"/>
  <c r="EG3" i="1"/>
  <c r="ED4" i="1"/>
  <c r="ED5" i="1" s="1"/>
  <c r="EA13" i="1"/>
  <c r="DX6" i="1"/>
  <c r="DW6" i="1"/>
  <c r="DV6" i="1"/>
  <c r="DU7" i="1" s="1"/>
  <c r="DT7" i="1"/>
  <c r="DS7" i="1"/>
  <c r="DR8" i="1" s="1"/>
  <c r="DQ8" i="1"/>
  <c r="DP8" i="1"/>
  <c r="DO9" i="1" s="1"/>
  <c r="DN9" i="1"/>
  <c r="DM9" i="1"/>
  <c r="DL10" i="1" s="1"/>
  <c r="DK10" i="1"/>
  <c r="DJ10" i="1"/>
  <c r="DI11" i="1" s="1"/>
  <c r="DH11" i="1"/>
  <c r="DH13" i="1" s="1"/>
  <c r="DG11" i="1"/>
  <c r="EF5" i="1" l="1"/>
  <c r="EE5" i="1"/>
  <c r="EJ3" i="1"/>
  <c r="EG4" i="1"/>
  <c r="EG5" i="1" s="1"/>
  <c r="ED13" i="1"/>
  <c r="EA6" i="1"/>
  <c r="DZ6" i="1"/>
  <c r="DY6" i="1"/>
  <c r="DX7" i="1" s="1"/>
  <c r="DW7" i="1"/>
  <c r="DV7" i="1"/>
  <c r="DU8" i="1" s="1"/>
  <c r="DT8" i="1"/>
  <c r="DS8" i="1"/>
  <c r="DR9" i="1" s="1"/>
  <c r="DQ9" i="1"/>
  <c r="DP9" i="1"/>
  <c r="DO10" i="1" s="1"/>
  <c r="DN10" i="1"/>
  <c r="DM10" i="1"/>
  <c r="DL11" i="1" s="1"/>
  <c r="DK11" i="1"/>
  <c r="DK13" i="1" s="1"/>
  <c r="DJ11" i="1"/>
  <c r="EI5" i="1" l="1"/>
  <c r="EH5" i="1"/>
  <c r="EM3" i="1"/>
  <c r="EM4" i="1" s="1"/>
  <c r="EM5" i="1" s="1"/>
  <c r="EJ4" i="1"/>
  <c r="EG13" i="1"/>
  <c r="ED6" i="1"/>
  <c r="EC6" i="1"/>
  <c r="EB6" i="1"/>
  <c r="EA7" i="1" s="1"/>
  <c r="DZ7" i="1"/>
  <c r="DY7" i="1"/>
  <c r="DX8" i="1" s="1"/>
  <c r="DW8" i="1"/>
  <c r="DV8" i="1"/>
  <c r="DU9" i="1" s="1"/>
  <c r="DT9" i="1"/>
  <c r="DS9" i="1"/>
  <c r="DR10" i="1" s="1"/>
  <c r="DQ10" i="1"/>
  <c r="DP10" i="1"/>
  <c r="DO11" i="1" s="1"/>
  <c r="DN11" i="1"/>
  <c r="DN13" i="1" s="1"/>
  <c r="DM11" i="1"/>
  <c r="EL5" i="1" l="1"/>
  <c r="EK5" i="1"/>
  <c r="EM13" i="1"/>
  <c r="EJ13" i="1"/>
  <c r="EG6" i="1"/>
  <c r="EF6" i="1"/>
  <c r="EE6" i="1"/>
  <c r="ED7" i="1" s="1"/>
  <c r="EC7" i="1"/>
  <c r="EB7" i="1"/>
  <c r="EA8" i="1" s="1"/>
  <c r="DZ8" i="1"/>
  <c r="DY8" i="1"/>
  <c r="DX9" i="1" s="1"/>
  <c r="DW9" i="1"/>
  <c r="DV9" i="1"/>
  <c r="DU10" i="1" s="1"/>
  <c r="DS10" i="1"/>
  <c r="DR11" i="1" s="1"/>
  <c r="DT10" i="1"/>
  <c r="DQ11" i="1"/>
  <c r="DQ13" i="1" s="1"/>
  <c r="DP11" i="1"/>
  <c r="EN5" i="1" l="1"/>
  <c r="EM6" i="1" s="1"/>
  <c r="EO5" i="1"/>
  <c r="EJ6" i="1"/>
  <c r="EI6" i="1"/>
  <c r="EH6" i="1"/>
  <c r="EG7" i="1" s="1"/>
  <c r="EF7" i="1"/>
  <c r="EE7" i="1"/>
  <c r="ED8" i="1" s="1"/>
  <c r="EC8" i="1"/>
  <c r="EB8" i="1"/>
  <c r="EA9" i="1" s="1"/>
  <c r="DZ9" i="1"/>
  <c r="DY9" i="1"/>
  <c r="DX10" i="1" s="1"/>
  <c r="DW10" i="1"/>
  <c r="DV10" i="1"/>
  <c r="DU11" i="1" s="1"/>
  <c r="DT11" i="1"/>
  <c r="DT13" i="1" s="1"/>
  <c r="DS11" i="1"/>
  <c r="EO6" i="1" l="1"/>
  <c r="EN6" i="1"/>
  <c r="EM7" i="1" s="1"/>
  <c r="EL6" i="1"/>
  <c r="EK6" i="1"/>
  <c r="EJ7" i="1" s="1"/>
  <c r="EI7" i="1"/>
  <c r="EH7" i="1"/>
  <c r="EG8" i="1" s="1"/>
  <c r="EF8" i="1"/>
  <c r="EE8" i="1"/>
  <c r="ED9" i="1" s="1"/>
  <c r="EC9" i="1"/>
  <c r="EB9" i="1"/>
  <c r="EA10" i="1" s="1"/>
  <c r="DZ10" i="1"/>
  <c r="DY10" i="1"/>
  <c r="DX11" i="1" s="1"/>
  <c r="DW11" i="1"/>
  <c r="DW13" i="1" s="1"/>
  <c r="DV11" i="1"/>
  <c r="EO7" i="1" l="1"/>
  <c r="EN7" i="1"/>
  <c r="EM8" i="1" s="1"/>
  <c r="EL7" i="1"/>
  <c r="EK7" i="1"/>
  <c r="EJ8" i="1" s="1"/>
  <c r="EH8" i="1"/>
  <c r="EG9" i="1" s="1"/>
  <c r="EI8" i="1"/>
  <c r="EF9" i="1"/>
  <c r="EE9" i="1"/>
  <c r="ED10" i="1" s="1"/>
  <c r="EC10" i="1"/>
  <c r="EB10" i="1"/>
  <c r="EA11" i="1" s="1"/>
  <c r="DZ11" i="1"/>
  <c r="DZ13" i="1" s="1"/>
  <c r="DY11" i="1"/>
  <c r="EO8" i="1" l="1"/>
  <c r="EN8" i="1"/>
  <c r="EM9" i="1" s="1"/>
  <c r="EL8" i="1"/>
  <c r="EK8" i="1"/>
  <c r="EJ9" i="1" s="1"/>
  <c r="EI9" i="1"/>
  <c r="EH9" i="1"/>
  <c r="EG10" i="1" s="1"/>
  <c r="EF10" i="1"/>
  <c r="EE10" i="1"/>
  <c r="ED11" i="1" s="1"/>
  <c r="EC11" i="1"/>
  <c r="EC13" i="1" s="1"/>
  <c r="EB11" i="1"/>
  <c r="EN9" i="1" l="1"/>
  <c r="EM10" i="1" s="1"/>
  <c r="EO9" i="1"/>
  <c r="EK9" i="1"/>
  <c r="EJ10" i="1" s="1"/>
  <c r="EL9" i="1"/>
  <c r="EI10" i="1"/>
  <c r="EH10" i="1"/>
  <c r="EG11" i="1" s="1"/>
  <c r="EF11" i="1"/>
  <c r="EF13" i="1" s="1"/>
  <c r="EE11" i="1"/>
  <c r="EO10" i="1" l="1"/>
  <c r="EN10" i="1"/>
  <c r="EM11" i="1" s="1"/>
  <c r="EL10" i="1"/>
  <c r="EK10" i="1"/>
  <c r="EJ11" i="1" s="1"/>
  <c r="EI11" i="1"/>
  <c r="EI13" i="1" s="1"/>
  <c r="EH11" i="1"/>
  <c r="EO11" i="1" l="1"/>
  <c r="EO13" i="1" s="1"/>
  <c r="EN11" i="1"/>
  <c r="EL11" i="1"/>
  <c r="EL13" i="1" s="1"/>
  <c r="EK11" i="1"/>
</calcChain>
</file>

<file path=xl/sharedStrings.xml><?xml version="1.0" encoding="utf-8"?>
<sst xmlns="http://schemas.openxmlformats.org/spreadsheetml/2006/main" count="1004" uniqueCount="674">
  <si>
    <t>Empezamo el técnico en la universidad galileo</t>
  </si>
  <si>
    <t>E</t>
  </si>
  <si>
    <t>m</t>
  </si>
  <si>
    <t>p</t>
  </si>
  <si>
    <t>e</t>
  </si>
  <si>
    <t>z</t>
  </si>
  <si>
    <t>a</t>
  </si>
  <si>
    <t>o</t>
  </si>
  <si>
    <t>s</t>
  </si>
  <si>
    <t>l</t>
  </si>
  <si>
    <t>t</t>
  </si>
  <si>
    <t>c</t>
  </si>
  <si>
    <t>n</t>
  </si>
  <si>
    <t>i</t>
  </si>
  <si>
    <t>u</t>
  </si>
  <si>
    <t>v</t>
  </si>
  <si>
    <t>r</t>
  </si>
  <si>
    <t>d</t>
  </si>
  <si>
    <t>g</t>
  </si>
  <si>
    <t>Space</t>
  </si>
  <si>
    <t>ASCII Value of ‘Space’ is 32</t>
  </si>
  <si>
    <t>!</t>
  </si>
  <si>
    <t>Exclamation mark</t>
  </si>
  <si>
    <t>ASCII Value of ‘Exclamation mark’ is 33</t>
  </si>
  <si>
    <t>“</t>
  </si>
  <si>
    <t>Double quotes (or speech marks)</t>
  </si>
  <si>
    <t>ASCII Value of ‘Double quotes (or speech marks)’ is 34</t>
  </si>
  <si>
    <t>#</t>
  </si>
  <si>
    <t>Number</t>
  </si>
  <si>
    <t>ASCII Value of ‘Number’ is 35</t>
  </si>
  <si>
    <t>$</t>
  </si>
  <si>
    <t>Dollar</t>
  </si>
  <si>
    <t>ASCII Value of ‘Dollar’ is 36</t>
  </si>
  <si>
    <t>%</t>
  </si>
  <si>
    <t>Per cent sign</t>
  </si>
  <si>
    <t>ASCII Value of ‘Per cent sign’ is 37</t>
  </si>
  <si>
    <t>&amp;</t>
  </si>
  <si>
    <t>Ampersand</t>
  </si>
  <si>
    <t>ASCII Value of ‘Ampersand’ is 38</t>
  </si>
  <si>
    <t>‘</t>
  </si>
  <si>
    <t>Single quote</t>
  </si>
  <si>
    <t>ASCII Value of ‘Single quote’ is 39</t>
  </si>
  <si>
    <t>(</t>
  </si>
  <si>
    <t>Open parenthesis (or open bracket)</t>
  </si>
  <si>
    <t>ASCII Value of ‘Open parenthesis (or open bracket)’ is 40</t>
  </si>
  <si>
    <t>)</t>
  </si>
  <si>
    <t>Close parenthesis (or close bracket)</t>
  </si>
  <si>
    <t>ASCII Value of ‘Close parenthesis (or close bracket)’ is 41</t>
  </si>
  <si>
    <t>*</t>
  </si>
  <si>
    <t>Asterisk</t>
  </si>
  <si>
    <t>ASCII Value of ‘Asterisk’ is 42</t>
  </si>
  <si>
    <t>+</t>
  </si>
  <si>
    <t>Plus</t>
  </si>
  <si>
    <t>ASCII Value of ‘Plus’ is 43</t>
  </si>
  <si>
    <t>,</t>
  </si>
  <si>
    <t>Comma</t>
  </si>
  <si>
    <t>ASCII Value of ‘Comma’ is 44</t>
  </si>
  <si>
    <t>–</t>
  </si>
  <si>
    <t>Hyphen</t>
  </si>
  <si>
    <t>ASCII Value of ‘Hyphen’ is 45</t>
  </si>
  <si>
    <t>.</t>
  </si>
  <si>
    <t>Period, dot or full stop</t>
  </si>
  <si>
    <t>ASCII Value of ‘Period, dot or full stop’ is 46</t>
  </si>
  <si>
    <t>/</t>
  </si>
  <si>
    <t>Slash or divide</t>
  </si>
  <si>
    <t>ASCII Value of ‘Slash or divide’ is 47</t>
  </si>
  <si>
    <t>Zero</t>
  </si>
  <si>
    <t>ASCII Value of ‘Zero’ is 48</t>
  </si>
  <si>
    <t>One</t>
  </si>
  <si>
    <t>ASCII Value of ‘One’ is 49</t>
  </si>
  <si>
    <t>Two</t>
  </si>
  <si>
    <t>ASCII Value of ‘Two’ is 50</t>
  </si>
  <si>
    <t>Three</t>
  </si>
  <si>
    <t>ASCII Value of ‘Three’ is 51</t>
  </si>
  <si>
    <t>Four</t>
  </si>
  <si>
    <t>ASCII Value of ‘Four’ is 52</t>
  </si>
  <si>
    <t>Five</t>
  </si>
  <si>
    <t>ASCII Value of ‘Five’ is 53</t>
  </si>
  <si>
    <t>Six</t>
  </si>
  <si>
    <t>ASCII Value of ‘Six’ is 54</t>
  </si>
  <si>
    <t>Seven</t>
  </si>
  <si>
    <t>ASCII Value of ‘Seven’ is 55</t>
  </si>
  <si>
    <t>Eight</t>
  </si>
  <si>
    <t>ASCII Value of ‘Eight’ is 56</t>
  </si>
  <si>
    <t>Nine</t>
  </si>
  <si>
    <t>ASCII Value of ‘Nine’ is 57</t>
  </si>
  <si>
    <t>:</t>
  </si>
  <si>
    <t>Colon</t>
  </si>
  <si>
    <t>ASCII Value of ‘Colon’ is 58</t>
  </si>
  <si>
    <t>;</t>
  </si>
  <si>
    <t>Semicolon</t>
  </si>
  <si>
    <t>ASCII Value of ‘Semicolon’ is 59</t>
  </si>
  <si>
    <t>&lt;</t>
  </si>
  <si>
    <t>Less than (or open angled bracket)</t>
  </si>
  <si>
    <t>ASCII Value of ‘Less than (or open angled bracket)’ is 60</t>
  </si>
  <si>
    <t>=</t>
  </si>
  <si>
    <t>Equals</t>
  </si>
  <si>
    <t>ASCII Value of ‘Equals’ is 61</t>
  </si>
  <si>
    <t>&gt;</t>
  </si>
  <si>
    <t>Greater than (or close angled bracket)</t>
  </si>
  <si>
    <t>ASCII Value of ‘Greater than (or close angled bracket)’ is 62</t>
  </si>
  <si>
    <t>?</t>
  </si>
  <si>
    <t>Question mark</t>
  </si>
  <si>
    <t>ASCII Value of ‘Question mark’ is 63</t>
  </si>
  <si>
    <t>@</t>
  </si>
  <si>
    <t>At symbol</t>
  </si>
  <si>
    <t>ASCII Value of ‘At symbol’ is 64</t>
  </si>
  <si>
    <t>A</t>
  </si>
  <si>
    <t>Uppercase A</t>
  </si>
  <si>
    <t>ASCII Value of ‘Uppercase A’ is 65</t>
  </si>
  <si>
    <t>B</t>
  </si>
  <si>
    <t>Uppercase B</t>
  </si>
  <si>
    <t>ASCII Value of ‘Uppercase B’ is 66</t>
  </si>
  <si>
    <t>C</t>
  </si>
  <si>
    <t>Uppercase C</t>
  </si>
  <si>
    <t>ASCII Value of ‘Uppercase C’ is 67</t>
  </si>
  <si>
    <t>D</t>
  </si>
  <si>
    <t>Uppercase D</t>
  </si>
  <si>
    <t>ASCII Value of ‘Uppercase D’ is 68</t>
  </si>
  <si>
    <t>Uppercase E</t>
  </si>
  <si>
    <t>ASCII Value of ‘Uppercase E’ is 69</t>
  </si>
  <si>
    <t>F</t>
  </si>
  <si>
    <t>Uppercase F</t>
  </si>
  <si>
    <t>ASCII Value of ‘Uppercase F’ is 70</t>
  </si>
  <si>
    <t>G</t>
  </si>
  <si>
    <t>Uppercase G</t>
  </si>
  <si>
    <t>ASCII Value of ‘Uppercase G’ is 71</t>
  </si>
  <si>
    <t>H</t>
  </si>
  <si>
    <t>Uppercase H</t>
  </si>
  <si>
    <t>ASCII Value of ‘Uppercase H’ is 72</t>
  </si>
  <si>
    <t>I</t>
  </si>
  <si>
    <t>Uppercase I</t>
  </si>
  <si>
    <t>ASCII Value of ‘Uppercase I’ is 73</t>
  </si>
  <si>
    <t>J</t>
  </si>
  <si>
    <t>Uppercase J</t>
  </si>
  <si>
    <t>ASCII Value of ‘Uppercase J’ is 74</t>
  </si>
  <si>
    <t>K</t>
  </si>
  <si>
    <t>Uppercase K</t>
  </si>
  <si>
    <t>ASCII Value of ‘Uppercase K’ is 75</t>
  </si>
  <si>
    <t>L</t>
  </si>
  <si>
    <t>Uppercase L</t>
  </si>
  <si>
    <t>ASCII Value of ‘Uppercase L’ is 76</t>
  </si>
  <si>
    <t>M</t>
  </si>
  <si>
    <t>Uppercase M</t>
  </si>
  <si>
    <t>ASCII Value of ‘Uppercase M’ is 77</t>
  </si>
  <si>
    <t>N</t>
  </si>
  <si>
    <t>Uppercase N</t>
  </si>
  <si>
    <t>ASCII Value of ‘Uppercase N’ is 78</t>
  </si>
  <si>
    <t>O</t>
  </si>
  <si>
    <t>Uppercase O</t>
  </si>
  <si>
    <t>ASCII Value of ‘Uppercase O’ is 79</t>
  </si>
  <si>
    <t>P</t>
  </si>
  <si>
    <t>Uppercase P</t>
  </si>
  <si>
    <t>ASCII Value of ‘Uppercase P’ is 80</t>
  </si>
  <si>
    <t>Q</t>
  </si>
  <si>
    <t>Uppercase Q</t>
  </si>
  <si>
    <t>ASCII Value of ‘Uppercase Q’ is 81</t>
  </si>
  <si>
    <t>R</t>
  </si>
  <si>
    <t>Uppercase R</t>
  </si>
  <si>
    <t>ASCII Value of ‘Uppercase R’ is 82</t>
  </si>
  <si>
    <t>S</t>
  </si>
  <si>
    <t>Uppercase S</t>
  </si>
  <si>
    <t>ASCII Value of ‘Uppercase S’ is 83</t>
  </si>
  <si>
    <t>T</t>
  </si>
  <si>
    <t>Uppercase T</t>
  </si>
  <si>
    <t>ASCII Value of ‘Uppercase T’ is 84</t>
  </si>
  <si>
    <t>U</t>
  </si>
  <si>
    <t>Uppercase U</t>
  </si>
  <si>
    <t>ASCII Value of ‘Uppercase U’ is 85</t>
  </si>
  <si>
    <t>V</t>
  </si>
  <si>
    <t>Uppercase V</t>
  </si>
  <si>
    <t>ASCII Value of ‘Uppercase V’ is 86</t>
  </si>
  <si>
    <t>W</t>
  </si>
  <si>
    <t>Uppercase W</t>
  </si>
  <si>
    <t>ASCII Value of ‘Uppercase W’ is 87</t>
  </si>
  <si>
    <t>X</t>
  </si>
  <si>
    <t>Uppercase X</t>
  </si>
  <si>
    <t>ASCII Value of ‘Uppercase X’ is 88</t>
  </si>
  <si>
    <t>Y</t>
  </si>
  <si>
    <t>Uppercase Y</t>
  </si>
  <si>
    <t>ASCII Value of ‘Uppercase Y’ is 89</t>
  </si>
  <si>
    <t>Z</t>
  </si>
  <si>
    <t>Uppercase Z</t>
  </si>
  <si>
    <t>ASCII Value of ‘Uppercase Z’ is 90</t>
  </si>
  <si>
    <t>[</t>
  </si>
  <si>
    <t>Opening bracket</t>
  </si>
  <si>
    <t>ASCII Value of ‘Opening bracket’ is 91</t>
  </si>
  <si>
    <t>\</t>
  </si>
  <si>
    <t>Backslash</t>
  </si>
  <si>
    <t>ASCII Value of ‘Backslash’ is 92</t>
  </si>
  <si>
    <t>]</t>
  </si>
  <si>
    <t>Closing bracket</t>
  </si>
  <si>
    <t>ASCII Value of ‘Closing bracket’ is 93</t>
  </si>
  <si>
    <t>^</t>
  </si>
  <si>
    <t>Caret – circumflex</t>
  </si>
  <si>
    <t>ASCII Value of ‘Caret – circumflex’ is 94</t>
  </si>
  <si>
    <t>_</t>
  </si>
  <si>
    <t>Underscore</t>
  </si>
  <si>
    <t>ASCII Value of ‘Underscore’ is 95</t>
  </si>
  <si>
    <t>`</t>
  </si>
  <si>
    <t>Grave accent</t>
  </si>
  <si>
    <t>ASCII Value of ‘Grave accent’ is 96</t>
  </si>
  <si>
    <t>Lowercase a</t>
  </si>
  <si>
    <t>ASCII Value of ‘Lowercase a’ is 97</t>
  </si>
  <si>
    <t>b</t>
  </si>
  <si>
    <t>Lowercase b</t>
  </si>
  <si>
    <t>ASCII Value of ‘Lowercase b’ is 98</t>
  </si>
  <si>
    <t>Lowercase c</t>
  </si>
  <si>
    <t>ASCII Value of ‘Lowercase c’ is 99</t>
  </si>
  <si>
    <t>Lowercase d</t>
  </si>
  <si>
    <t>ASCII Value of ‘Lowercase d’ is 100</t>
  </si>
  <si>
    <t>Lowercase e</t>
  </si>
  <si>
    <t>ASCII Value of ‘Lowercase e’ is 101</t>
  </si>
  <si>
    <t>f</t>
  </si>
  <si>
    <t>Lowercase f</t>
  </si>
  <si>
    <t>ASCII Value of ‘Lowercase f’ is 102</t>
  </si>
  <si>
    <t>Lowercase g</t>
  </si>
  <si>
    <t>ASCII Value of ‘Lowercase g’ is 103</t>
  </si>
  <si>
    <t>h</t>
  </si>
  <si>
    <t>Lowercase h</t>
  </si>
  <si>
    <t>ASCII Value of ‘Lowercase h’ is 104</t>
  </si>
  <si>
    <t>Lowercase i</t>
  </si>
  <si>
    <t>ASCII Value of ‘Lowercase i’ is 105</t>
  </si>
  <si>
    <t>j</t>
  </si>
  <si>
    <t>Lowercase j</t>
  </si>
  <si>
    <t>ASCII Value of ‘Lowercase j’ is 106</t>
  </si>
  <si>
    <t>k</t>
  </si>
  <si>
    <t>Lowercase k</t>
  </si>
  <si>
    <t>ASCII Value of ‘Lowercase k’ is 107</t>
  </si>
  <si>
    <t>Lowercase l</t>
  </si>
  <si>
    <t>ASCII Value of ‘Lowercase l’ is 108</t>
  </si>
  <si>
    <t>Lowercase m</t>
  </si>
  <si>
    <t>ASCII Value of ‘Lowercase m’ is 109</t>
  </si>
  <si>
    <t>Lowercase n</t>
  </si>
  <si>
    <t>ASCII Value of ‘Lowercase n’ is 110</t>
  </si>
  <si>
    <t>Lowercase o</t>
  </si>
  <si>
    <t>ASCII Value of ‘Lowercase o’ is 111</t>
  </si>
  <si>
    <t>Lowercase p</t>
  </si>
  <si>
    <t>ASCII Value of ‘Lowercase p’ is 112</t>
  </si>
  <si>
    <t>q</t>
  </si>
  <si>
    <t>Lowercase q</t>
  </si>
  <si>
    <t>ASCII Value of ‘Lowercase q’ is 113</t>
  </si>
  <si>
    <t>Lowercase r</t>
  </si>
  <si>
    <t>ASCII Value of ‘Lowercase r’ is 114</t>
  </si>
  <si>
    <t>Lowercase s</t>
  </si>
  <si>
    <t>ASCII Value of ‘Lowercase s’ is 115</t>
  </si>
  <si>
    <t>Lowercase t</t>
  </si>
  <si>
    <t>ASCII Value of ‘Lowercase t’ is 116</t>
  </si>
  <si>
    <t>Lowercase u</t>
  </si>
  <si>
    <t>ASCII Value of ‘Lowercase u’ is 117</t>
  </si>
  <si>
    <t>Lowercase v</t>
  </si>
  <si>
    <t>ASCII Value of ‘Lowercase v’ is 118</t>
  </si>
  <si>
    <t>w</t>
  </si>
  <si>
    <t>Lowercase w</t>
  </si>
  <si>
    <t>ASCII Value of ‘Lowercase w’ is 119</t>
  </si>
  <si>
    <t>x</t>
  </si>
  <si>
    <t>Lowercase x</t>
  </si>
  <si>
    <t>ASCII Value of ‘Lowercase x’ is 120</t>
  </si>
  <si>
    <t>y</t>
  </si>
  <si>
    <t>Lowercase y</t>
  </si>
  <si>
    <t>ASCII Value of ‘Lowercase y’ is 121</t>
  </si>
  <si>
    <t>Lowercase z</t>
  </si>
  <si>
    <t>ASCII Value of ‘Lowercase z’ is 122</t>
  </si>
  <si>
    <t>{</t>
  </si>
  <si>
    <t>Opening brace</t>
  </si>
  <si>
    <t>ASCII Value of ‘Opening brace’ is 123</t>
  </si>
  <si>
    <t>|</t>
  </si>
  <si>
    <t>Vertical bar</t>
  </si>
  <si>
    <t>ASCII Value of ‘Vertical bar’ is 124</t>
  </si>
  <si>
    <t>}</t>
  </si>
  <si>
    <t>Closing brace</t>
  </si>
  <si>
    <t>ASCII Value of ‘Closing brace’ is 125</t>
  </si>
  <si>
    <t>~</t>
  </si>
  <si>
    <t>Equivalency sign – tilde</t>
  </si>
  <si>
    <t>ASCII Value of ‘Equivalency sign – tilde’ is 126</t>
  </si>
  <si>
    <t></t>
  </si>
  <si>
    <t>Delete</t>
  </si>
  <si>
    <t>ASCII Value of ‘Delete’ is 127</t>
  </si>
  <si>
    <t>€</t>
  </si>
  <si>
    <t>Euro sign</t>
  </si>
  <si>
    <t>ASCII Value of ‘Euro sign’ is 128</t>
  </si>
  <si>
    <t>‚</t>
  </si>
  <si>
    <t>Single low-9 quotation mark</t>
  </si>
  <si>
    <t>ASCII Value of ‘Single low-9 quotation mark’ is 130</t>
  </si>
  <si>
    <t>ƒ</t>
  </si>
  <si>
    <t>Latin small letter f with hook</t>
  </si>
  <si>
    <t>ASCII Value of ‘Latin small letter f with hook’ is 131</t>
  </si>
  <si>
    <t>„</t>
  </si>
  <si>
    <t>Double low-9 quotation mark</t>
  </si>
  <si>
    <t>ASCII Value of ‘Double low-9 quotation mark’ is 132</t>
  </si>
  <si>
    <t>…</t>
  </si>
  <si>
    <t>Horizontal ellipsis</t>
  </si>
  <si>
    <t>ASCII Value of ‘Horizontal ellipsis’ is 133</t>
  </si>
  <si>
    <t>†</t>
  </si>
  <si>
    <t>Dagger</t>
  </si>
  <si>
    <t>ASCII Value of ‘Dagger’ is 134</t>
  </si>
  <si>
    <t>‡</t>
  </si>
  <si>
    <t>Double dagger</t>
  </si>
  <si>
    <t>ASCII Value of ‘Double dagger’ is 135</t>
  </si>
  <si>
    <t>ˆ</t>
  </si>
  <si>
    <t>Modifier letter circumflex accent</t>
  </si>
  <si>
    <t>ASCII Value of ‘Modifier letter circumflex accent’ is 136</t>
  </si>
  <si>
    <t>‰</t>
  </si>
  <si>
    <t>Per mille sign</t>
  </si>
  <si>
    <t>ASCII Value of ‘Per mille sign’ is 137</t>
  </si>
  <si>
    <t>Š</t>
  </si>
  <si>
    <t>Latin capital letter S with caron</t>
  </si>
  <si>
    <t>ASCII Value of ‘Latin capital letter S with caron’ is 138</t>
  </si>
  <si>
    <t>‹</t>
  </si>
  <si>
    <t>Single left-pointing angle quotation</t>
  </si>
  <si>
    <t>ASCII Value of ‘Single left-pointing angle quotation’ is 139</t>
  </si>
  <si>
    <t>Œ</t>
  </si>
  <si>
    <t>Latin capital ligature OE</t>
  </si>
  <si>
    <t>ASCII Value of ‘Latin capital ligature OE’ is 140</t>
  </si>
  <si>
    <t></t>
  </si>
  <si>
    <t>ASCII Value of ‘0’ is 141</t>
  </si>
  <si>
    <t>Ž</t>
  </si>
  <si>
    <t>Latin capital letter Z with caron</t>
  </si>
  <si>
    <t>ASCII Value of ‘Latin capital letter Z with caron’ is 142</t>
  </si>
  <si>
    <t></t>
  </si>
  <si>
    <t>ASCII Value of ‘0’ is 143</t>
  </si>
  <si>
    <t></t>
  </si>
  <si>
    <t>ASCII Value of ‘0’ is 144</t>
  </si>
  <si>
    <t>Left single quotation mark</t>
  </si>
  <si>
    <t>ASCII Value of ‘Left single quotation mark’ is 145</t>
  </si>
  <si>
    <t>’</t>
  </si>
  <si>
    <t>Right single quotation mark</t>
  </si>
  <si>
    <t>ASCII Value of ‘Right single quotation mark’ is 146</t>
  </si>
  <si>
    <t>Left double quotation mark</t>
  </si>
  <si>
    <t>ASCII Value of ‘Left double quotation mark’ is 147</t>
  </si>
  <si>
    <t>”</t>
  </si>
  <si>
    <t>Right double quotation mark</t>
  </si>
  <si>
    <t>ASCII Value of ‘Right double quotation mark’ is 148</t>
  </si>
  <si>
    <t>•</t>
  </si>
  <si>
    <t>Bullet</t>
  </si>
  <si>
    <t>ASCII Value of ‘Bullet’ is 149</t>
  </si>
  <si>
    <t>En dash</t>
  </si>
  <si>
    <t>ASCII Value of ‘En dash’ is 150</t>
  </si>
  <si>
    <t>—</t>
  </si>
  <si>
    <t>Em dash</t>
  </si>
  <si>
    <t>ASCII Value of ‘Em dash’ is 151</t>
  </si>
  <si>
    <t>˜</t>
  </si>
  <si>
    <t>Small tilde</t>
  </si>
  <si>
    <t>ASCII Value of ‘Small tilde’ is 152</t>
  </si>
  <si>
    <t>™</t>
  </si>
  <si>
    <t>Trade mark sign</t>
  </si>
  <si>
    <t>ASCII Value of ‘Trade mark sign’ is 153</t>
  </si>
  <si>
    <t>š</t>
  </si>
  <si>
    <t>Latin small letter S with caron</t>
  </si>
  <si>
    <t>ASCII Value of ‘Latin small letter S with caron’ is 154</t>
  </si>
  <si>
    <t>›</t>
  </si>
  <si>
    <t>Single right-pointing angle quotation mark</t>
  </si>
  <si>
    <t>ASCII Value of ‘Single right-pointing angle quotation mark’ is 155</t>
  </si>
  <si>
    <t>œ</t>
  </si>
  <si>
    <t>Latin small ligature oe</t>
  </si>
  <si>
    <t>ASCII Value of ‘Latin small ligature oe’ is 156</t>
  </si>
  <si>
    <t></t>
  </si>
  <si>
    <t>ASCII Value of ‘0’ is 157</t>
  </si>
  <si>
    <t>ž</t>
  </si>
  <si>
    <t>Latin small letter z with caron</t>
  </si>
  <si>
    <t>ASCII Value of ‘Latin small letter z with caron’ is 158</t>
  </si>
  <si>
    <t>Ÿ</t>
  </si>
  <si>
    <t>Latin capital letter Y with diaeresis</t>
  </si>
  <si>
    <t>ASCII Value of ‘Latin capital letter Y with diaeresis’ is 159</t>
  </si>
  <si>
    <t>Non-breaking space</t>
  </si>
  <si>
    <t>ASCII Value of ‘Non-breaking space’ is 160</t>
  </si>
  <si>
    <t>¡</t>
  </si>
  <si>
    <t>Inverted exclamation mark</t>
  </si>
  <si>
    <t>ASCII Value of ‘Inverted exclamation mark’ is 161</t>
  </si>
  <si>
    <t>¢</t>
  </si>
  <si>
    <t>Cent sign</t>
  </si>
  <si>
    <t>ASCII Value of ‘Cent sign’ is 162</t>
  </si>
  <si>
    <t>£</t>
  </si>
  <si>
    <t>Pound sign</t>
  </si>
  <si>
    <t>ASCII Value of ‘Pound sign’ is 163</t>
  </si>
  <si>
    <t>¤</t>
  </si>
  <si>
    <t>Currency sign</t>
  </si>
  <si>
    <t>ASCII Value of ‘Currency sign’ is 164</t>
  </si>
  <si>
    <t>¥</t>
  </si>
  <si>
    <t>Yen sign</t>
  </si>
  <si>
    <t>ASCII Value of ‘Yen sign’ is 165</t>
  </si>
  <si>
    <t>¦</t>
  </si>
  <si>
    <t>Pipe, Broken vertical bar</t>
  </si>
  <si>
    <t>ASCII Value of ‘Pipe, Broken vertical bar’ is 166</t>
  </si>
  <si>
    <t>§</t>
  </si>
  <si>
    <t>Section sign</t>
  </si>
  <si>
    <t>ASCII Value of ‘Section sign’ is 167</t>
  </si>
  <si>
    <t>¨</t>
  </si>
  <si>
    <t>Spacing diaeresis – umlaut</t>
  </si>
  <si>
    <t>ASCII Value of ‘Spacing diaeresis – umlaut’ is 168</t>
  </si>
  <si>
    <t>©</t>
  </si>
  <si>
    <t>Copyright sign</t>
  </si>
  <si>
    <t>ASCII Value of ‘Copyright sign’ is 169</t>
  </si>
  <si>
    <t>ª</t>
  </si>
  <si>
    <t>Feminine ordinal indicator</t>
  </si>
  <si>
    <t>ASCII Value of ‘Feminine ordinal indicator’ is 170</t>
  </si>
  <si>
    <t>«</t>
  </si>
  <si>
    <t>Left double angle quotes</t>
  </si>
  <si>
    <t>ASCII Value of ‘Left double angle quotes’ is 171</t>
  </si>
  <si>
    <t>¬</t>
  </si>
  <si>
    <t>Not sign</t>
  </si>
  <si>
    <t>ASCII Value of ‘Not sign’ is 172</t>
  </si>
  <si>
    <t>­</t>
  </si>
  <si>
    <t>Soft hyphen</t>
  </si>
  <si>
    <t>ASCII Value of ‘Soft hyphen’ is 173</t>
  </si>
  <si>
    <t>®</t>
  </si>
  <si>
    <t>Registered trade mark sign</t>
  </si>
  <si>
    <t>ASCII Value of ‘Registered trade mark sign’ is 174</t>
  </si>
  <si>
    <t>¯</t>
  </si>
  <si>
    <t>Spacing macron – overline</t>
  </si>
  <si>
    <t>ASCII Value of ‘Spacing macron – overline’ is 175</t>
  </si>
  <si>
    <t>°</t>
  </si>
  <si>
    <t>Degree sign</t>
  </si>
  <si>
    <t>ASCII Value of ‘Degree sign’ is 176</t>
  </si>
  <si>
    <t>±</t>
  </si>
  <si>
    <t>Plus-or-minus sign</t>
  </si>
  <si>
    <t>ASCII Value of ‘Plus-or-minus sign’ is 177</t>
  </si>
  <si>
    <t>²</t>
  </si>
  <si>
    <t>Superscript two – squared</t>
  </si>
  <si>
    <t>ASCII Value of ‘Superscript two – squared’ is 178</t>
  </si>
  <si>
    <t>³</t>
  </si>
  <si>
    <t>Superscript three – cubed</t>
  </si>
  <si>
    <t>ASCII Value of ‘Superscript three – cubed’ is 179</t>
  </si>
  <si>
    <t>´</t>
  </si>
  <si>
    <t>Acute accent – spacing acute</t>
  </si>
  <si>
    <t>ASCII Value of ‘Acute accent – spacing acute’ is 180</t>
  </si>
  <si>
    <t>µ</t>
  </si>
  <si>
    <t>Micro sign</t>
  </si>
  <si>
    <t>ASCII Value of ‘Micro sign’ is 181</t>
  </si>
  <si>
    <t>¶</t>
  </si>
  <si>
    <t>Pilcrow sign – paragraph sign</t>
  </si>
  <si>
    <t>ASCII Value of ‘Pilcrow sign – paragraph sign’ is 182</t>
  </si>
  <si>
    <t>·</t>
  </si>
  <si>
    <t>Middle dot – Georgian comma</t>
  </si>
  <si>
    <t>ASCII Value of ‘Middle dot – Georgian comma’ is 183</t>
  </si>
  <si>
    <t>¸</t>
  </si>
  <si>
    <t>Spacing cedilla</t>
  </si>
  <si>
    <t>ASCII Value of ‘Spacing cedilla’ is 184</t>
  </si>
  <si>
    <t>¹</t>
  </si>
  <si>
    <t>Superscript one</t>
  </si>
  <si>
    <t>ASCII Value of ‘Superscript one’ is 185</t>
  </si>
  <si>
    <t>º</t>
  </si>
  <si>
    <t>Masculine ordinal indicator</t>
  </si>
  <si>
    <t>ASCII Value of ‘Masculine ordinal indicator’ is 186</t>
  </si>
  <si>
    <t>»</t>
  </si>
  <si>
    <t>Right double angle quotes</t>
  </si>
  <si>
    <t>ASCII Value of ‘Right double angle quotes’ is 187</t>
  </si>
  <si>
    <t>¼</t>
  </si>
  <si>
    <t>Fraction one quarter</t>
  </si>
  <si>
    <t>ASCII Value of ‘Fraction one quarter’ is 188</t>
  </si>
  <si>
    <t>½</t>
  </si>
  <si>
    <t>Fraction one half</t>
  </si>
  <si>
    <t>ASCII Value of ‘Fraction one half’ is 189</t>
  </si>
  <si>
    <t>¾</t>
  </si>
  <si>
    <t>Fraction three quarters</t>
  </si>
  <si>
    <t>ASCII Value of ‘Fraction three quarters’ is 190</t>
  </si>
  <si>
    <t>¿</t>
  </si>
  <si>
    <t>Inverted question mark</t>
  </si>
  <si>
    <t>ASCII Value of ‘Inverted question mark’ is 191</t>
  </si>
  <si>
    <t>À</t>
  </si>
  <si>
    <t>Latin capital letter A with grave</t>
  </si>
  <si>
    <t>ASCII Value of ‘Latin capital letter A with grave’ is 192</t>
  </si>
  <si>
    <t>Á</t>
  </si>
  <si>
    <t>Latin capital letter A with acute</t>
  </si>
  <si>
    <t>ASCII Value of ‘Latin capital letter A with acute’ is 193</t>
  </si>
  <si>
    <t>Â</t>
  </si>
  <si>
    <t>Latin capital letter A with circumflex</t>
  </si>
  <si>
    <t>ASCII Value of ‘Latin capital letter A with circumflex’ is 194</t>
  </si>
  <si>
    <t>Ã</t>
  </si>
  <si>
    <t>Latin capital letter A with tilde</t>
  </si>
  <si>
    <t>ASCII Value of ‘Latin capital letter A with tilde’ is 195</t>
  </si>
  <si>
    <t>Ä</t>
  </si>
  <si>
    <t>Latin capital letter A with diaeresis</t>
  </si>
  <si>
    <t>ASCII Value of ‘Latin capital letter A with diaeresis’ is 196</t>
  </si>
  <si>
    <t>Å</t>
  </si>
  <si>
    <t>Latin capital letter A with ring above</t>
  </si>
  <si>
    <t>ASCII Value of ‘Latin capital letter A with ring above’ is 197</t>
  </si>
  <si>
    <t>Æ</t>
  </si>
  <si>
    <t>Latin capital letter AE</t>
  </si>
  <si>
    <t>ASCII Value of ‘Latin capital letter AE’ is 198</t>
  </si>
  <si>
    <t>Ç</t>
  </si>
  <si>
    <t>Latin capital letter C with cedilla</t>
  </si>
  <si>
    <t>ASCII Value of ‘Latin capital letter C with cedilla’ is 199</t>
  </si>
  <si>
    <t>È</t>
  </si>
  <si>
    <t>Latin capital letter E with grave</t>
  </si>
  <si>
    <t>ASCII Value of ‘Latin capital letter E with grave’ is 200</t>
  </si>
  <si>
    <t>É</t>
  </si>
  <si>
    <t>Latin capital letter E with acute</t>
  </si>
  <si>
    <t>ASCII Value of ‘Latin capital letter E with acute’ is 201</t>
  </si>
  <si>
    <t>Ê</t>
  </si>
  <si>
    <t>Latin capital letter E with circumflex</t>
  </si>
  <si>
    <t>ASCII Value of ‘Latin capital letter E with circumflex’ is 202</t>
  </si>
  <si>
    <t>Ë</t>
  </si>
  <si>
    <t>Latin capital letter E with diaeresis</t>
  </si>
  <si>
    <t>ASCII Value of ‘Latin capital letter E with diaeresis’ is 203</t>
  </si>
  <si>
    <t>Ì</t>
  </si>
  <si>
    <t>Latin capital letter I with grave</t>
  </si>
  <si>
    <t>ASCII Value of ‘Latin capital letter I with grave’ is 204</t>
  </si>
  <si>
    <t>Í</t>
  </si>
  <si>
    <t>Latin capital letter I with acute</t>
  </si>
  <si>
    <t>ASCII Value of ‘Latin capital letter I with acute’ is 205</t>
  </si>
  <si>
    <t>Î</t>
  </si>
  <si>
    <t>Latin capital letter I with circumflex</t>
  </si>
  <si>
    <t>ASCII Value of ‘Latin capital letter I with circumflex’ is 206</t>
  </si>
  <si>
    <t>Ï</t>
  </si>
  <si>
    <t>Latin capital letter I with diaeresis</t>
  </si>
  <si>
    <t>ASCII Value of ‘Latin capital letter I with diaeresis’ is 207</t>
  </si>
  <si>
    <t>Ð</t>
  </si>
  <si>
    <t>Latin capital letter ETH</t>
  </si>
  <si>
    <t>ASCII Value of ‘Latin capital letter ETH’ is 208</t>
  </si>
  <si>
    <t>Ñ</t>
  </si>
  <si>
    <t>Latin capital letter N with tilde</t>
  </si>
  <si>
    <t>ASCII Value of ‘Latin capital letter N with tilde’ is 209</t>
  </si>
  <si>
    <t>Ò</t>
  </si>
  <si>
    <t>Latin capital letter O with grave</t>
  </si>
  <si>
    <t>ASCII Value of ‘Latin capital letter O with grave’ is 210</t>
  </si>
  <si>
    <t>Ó</t>
  </si>
  <si>
    <t>Latin capital letter O with acute</t>
  </si>
  <si>
    <t>ASCII Value of ‘Latin capital letter O with acute’ is 211</t>
  </si>
  <si>
    <t>Ô</t>
  </si>
  <si>
    <t>Latin capital letter O with circumflex</t>
  </si>
  <si>
    <t>ASCII Value of ‘Latin capital letter O with circumflex’ is 212</t>
  </si>
  <si>
    <t>Õ</t>
  </si>
  <si>
    <t>Latin capital letter O with tilde</t>
  </si>
  <si>
    <t>ASCII Value of ‘Latin capital letter O with tilde’ is 213</t>
  </si>
  <si>
    <t>Ö</t>
  </si>
  <si>
    <t>Latin capital letter O with diaeresis</t>
  </si>
  <si>
    <t>ASCII Value of ‘Latin capital letter O with diaeresis’ is 214</t>
  </si>
  <si>
    <t>×</t>
  </si>
  <si>
    <t>Multiplication sign</t>
  </si>
  <si>
    <t>ASCII Value of ‘Multiplication sign’ is 215</t>
  </si>
  <si>
    <t>Ø</t>
  </si>
  <si>
    <t>Latin capital letter O with slash</t>
  </si>
  <si>
    <t>ASCII Value of ‘Latin capital letter O with slash’ is 216</t>
  </si>
  <si>
    <t>Ù</t>
  </si>
  <si>
    <t>Latin capital letter U with grave</t>
  </si>
  <si>
    <t>ASCII Value of ‘Latin capital letter U with grave’ is 217</t>
  </si>
  <si>
    <t>Ú</t>
  </si>
  <si>
    <t>Latin capital letter U with acute</t>
  </si>
  <si>
    <t>ASCII Value of ‘Latin capital letter U with acute’ is 218</t>
  </si>
  <si>
    <t>Û</t>
  </si>
  <si>
    <t>Latin capital letter U with circumflex</t>
  </si>
  <si>
    <t>ASCII Value of ‘Latin capital letter U with circumflex’ is 219</t>
  </si>
  <si>
    <t>Ü</t>
  </si>
  <si>
    <t>Latin capital letter U with diaeresis</t>
  </si>
  <si>
    <t>ASCII Value of ‘Latin capital letter U with diaeresis’ is 220</t>
  </si>
  <si>
    <t>Ý</t>
  </si>
  <si>
    <t>Latin capital letter Y with acute</t>
  </si>
  <si>
    <t>ASCII Value of ‘Latin capital letter Y with acute’ is 221</t>
  </si>
  <si>
    <t>Þ</t>
  </si>
  <si>
    <t>Latin capital letter THORN</t>
  </si>
  <si>
    <t>ASCII Value of ‘Latin capital letter THORN’ is 222</t>
  </si>
  <si>
    <t>ß</t>
  </si>
  <si>
    <t>Latin small letter sharp s – ess-zed</t>
  </si>
  <si>
    <t>ASCII Value of ‘Latin small letter sharp s – ess-zed’ is 223</t>
  </si>
  <si>
    <t>à</t>
  </si>
  <si>
    <t>Latin small letter a with grave</t>
  </si>
  <si>
    <t>ASCII Value of ‘Latin small letter a with grave’ is 224</t>
  </si>
  <si>
    <t>á</t>
  </si>
  <si>
    <t>Latin small letter a with acute</t>
  </si>
  <si>
    <t>ASCII Value of ‘Latin small letter a with acute’ is 225</t>
  </si>
  <si>
    <t>â</t>
  </si>
  <si>
    <t>Latin small letter a with circumflex</t>
  </si>
  <si>
    <t>ASCII Value of ‘Latin small letter a with circumflex’ is 226</t>
  </si>
  <si>
    <t>ã</t>
  </si>
  <si>
    <t>Latin small letter a with tilde</t>
  </si>
  <si>
    <t>ASCII Value of ‘Latin small letter a with tilde’ is 227</t>
  </si>
  <si>
    <t>ä</t>
  </si>
  <si>
    <t>Latin small letter a with diaeresis</t>
  </si>
  <si>
    <t>ASCII Value of ‘Latin small letter a with diaeresis’ is 228</t>
  </si>
  <si>
    <t>å</t>
  </si>
  <si>
    <t>Latin small letter a with ring above</t>
  </si>
  <si>
    <t>ASCII Value of ‘Latin small letter a with ring above’ is 229</t>
  </si>
  <si>
    <t>æ</t>
  </si>
  <si>
    <t>Latin small letter ae</t>
  </si>
  <si>
    <t>ASCII Value of ‘Latin small letter ae’ is 230</t>
  </si>
  <si>
    <t>ç</t>
  </si>
  <si>
    <t>Latin small letter c with cedilla</t>
  </si>
  <si>
    <t>ASCII Value of ‘Latin small letter c with cedilla’ is 231</t>
  </si>
  <si>
    <t>è</t>
  </si>
  <si>
    <t>Latin small letter e with grave</t>
  </si>
  <si>
    <t>ASCII Value of ‘Latin small letter e with grave’ is 232</t>
  </si>
  <si>
    <t>é</t>
  </si>
  <si>
    <t>Latin small letter e with acute</t>
  </si>
  <si>
    <t>ASCII Value of ‘Latin small letter e with acute’ is 233</t>
  </si>
  <si>
    <t>ê</t>
  </si>
  <si>
    <t>Latin small letter e with circumflex</t>
  </si>
  <si>
    <t>ASCII Value of ‘Latin small letter e with circumflex’ is 234</t>
  </si>
  <si>
    <t>ë</t>
  </si>
  <si>
    <t>Latin small letter e with diaeresis</t>
  </si>
  <si>
    <t>ASCII Value of ‘Latin small letter e with diaeresis’ is 235</t>
  </si>
  <si>
    <t>ì</t>
  </si>
  <si>
    <t>Latin small letter i with grave</t>
  </si>
  <si>
    <t>ASCII Value of ‘Latin small letter i with grave’ is 236</t>
  </si>
  <si>
    <t>í</t>
  </si>
  <si>
    <t>Latin small letter i with acute</t>
  </si>
  <si>
    <t>ASCII Value of ‘Latin small letter i with acute’ is 237</t>
  </si>
  <si>
    <t>î</t>
  </si>
  <si>
    <t>Latin small letter i with circumflex</t>
  </si>
  <si>
    <t>ASCII Value of ‘Latin small letter i with circumflex’ is 238</t>
  </si>
  <si>
    <t>ï</t>
  </si>
  <si>
    <t>Latin small letter i with diaeresis</t>
  </si>
  <si>
    <t>ASCII Value of ‘Latin small letter i with diaeresis’ is 239</t>
  </si>
  <si>
    <t>ð</t>
  </si>
  <si>
    <t>Latin small letter eth</t>
  </si>
  <si>
    <t>ASCII Value of ‘Latin small letter eth’ is 240</t>
  </si>
  <si>
    <t>ñ</t>
  </si>
  <si>
    <t>Latin small letter n with tilde</t>
  </si>
  <si>
    <t>ASCII Value of ‘Latin small letter n with tilde’ is 241</t>
  </si>
  <si>
    <t>ò</t>
  </si>
  <si>
    <t>Latin small letter o with grave</t>
  </si>
  <si>
    <t>ASCII Value of ‘Latin small letter o with grave’ is 242</t>
  </si>
  <si>
    <t>ó</t>
  </si>
  <si>
    <t>Latin small letter o with acute</t>
  </si>
  <si>
    <t>ASCII Value of ‘Latin small letter o with acute’ is 243</t>
  </si>
  <si>
    <t>ô</t>
  </si>
  <si>
    <t>Latin small letter o with circumflex</t>
  </si>
  <si>
    <t>ASCII Value of ‘Latin small letter o with circumflex’ is 244</t>
  </si>
  <si>
    <t>õ</t>
  </si>
  <si>
    <t>Latin small letter o with tilde</t>
  </si>
  <si>
    <t>ASCII Value of ‘Latin small letter o with tilde’ is 245</t>
  </si>
  <si>
    <t>ö</t>
  </si>
  <si>
    <t>Latin small letter o with diaeresis</t>
  </si>
  <si>
    <t>ASCII Value of ‘Latin small letter o with diaeresis’ is 246</t>
  </si>
  <si>
    <t>÷</t>
  </si>
  <si>
    <t>Division sign</t>
  </si>
  <si>
    <t>ASCII Value of ‘Division sign’ is 247</t>
  </si>
  <si>
    <t>ø</t>
  </si>
  <si>
    <t>Latin small letter o with slash</t>
  </si>
  <si>
    <t>ASCII Value of ‘Latin small letter o with slash’ is 248</t>
  </si>
  <si>
    <t>ù</t>
  </si>
  <si>
    <t>Latin small letter u with grave</t>
  </si>
  <si>
    <t>ASCII Value of ‘Latin small letter u with grave’ is 249</t>
  </si>
  <si>
    <t>ú</t>
  </si>
  <si>
    <t>Latin small letter u with acute</t>
  </si>
  <si>
    <t>ASCII Value of ‘Latin small letter u with acute’ is 250</t>
  </si>
  <si>
    <t>û</t>
  </si>
  <si>
    <t>Latin small letter u with circumflex</t>
  </si>
  <si>
    <t>ASCII Value of ‘Latin small letter u with circumflex’ is 251</t>
  </si>
  <si>
    <t>ü</t>
  </si>
  <si>
    <t>Latin small letter u with diaeresis</t>
  </si>
  <si>
    <t>ASCII Value of ‘Latin small letter u with diaeresis’ is 252</t>
  </si>
  <si>
    <t>ý</t>
  </si>
  <si>
    <t>Latin small letter y with acute</t>
  </si>
  <si>
    <t>ASCII Value of ‘Latin small letter y with acute’ is 253</t>
  </si>
  <si>
    <t>þ</t>
  </si>
  <si>
    <t>Latin small letter thorn</t>
  </si>
  <si>
    <t>ASCII Value of ‘Latin small letter thorn’ is 254</t>
  </si>
  <si>
    <t>ÿ</t>
  </si>
  <si>
    <t>Latin small letter y with diaeresis</t>
  </si>
  <si>
    <t>ASCII Value of ‘Latin small letter y with diaeresis’ is 255</t>
  </si>
  <si>
    <t xml:space="preserve"> </t>
  </si>
  <si>
    <t>Cociente</t>
  </si>
  <si>
    <t>Residuo</t>
  </si>
  <si>
    <t>01000101</t>
  </si>
  <si>
    <t>01101101</t>
  </si>
  <si>
    <t>01110000</t>
  </si>
  <si>
    <t>01111010</t>
  </si>
  <si>
    <t>01100001</t>
  </si>
  <si>
    <t>01101111</t>
  </si>
  <si>
    <t>01110011</t>
  </si>
  <si>
    <t>00100000</t>
  </si>
  <si>
    <t>01101100</t>
  </si>
  <si>
    <t>01110100</t>
  </si>
  <si>
    <t>01001001</t>
  </si>
  <si>
    <t>01100011</t>
  </si>
  <si>
    <t>01101110</t>
  </si>
  <si>
    <t>01101001</t>
  </si>
  <si>
    <t>01110101</t>
  </si>
  <si>
    <t>01110110</t>
  </si>
  <si>
    <t>01110010</t>
  </si>
  <si>
    <t>01100100</t>
  </si>
  <si>
    <t>01100111</t>
  </si>
  <si>
    <t>01100101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</si>
</sst>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374151"/>
      <name val="Arial"/>
      <family val="2"/>
    </font>
  </fonts>
  <fills count="4">
    <fill>
      <patternFill patternType="none"/>
    </fill>
    <fill>
      <patternFill patternType="gray125"/>
    </fill>
    <fill>
      <patternFill patternType="solid">
        <fgColor rgb="FFFFFFFF"/>
        <bgColor indexed="64"/>
      </patternFill>
    </fill>
    <fill>
      <patternFill patternType="solid">
        <fgColor theme="7" tint="0.79998168889431442"/>
        <bgColor indexed="64"/>
      </patternFill>
    </fill>
  </fills>
  <borders count="10">
    <border>
      <left/>
      <right/>
      <top/>
      <bottom/>
      <diagonal/>
    </border>
    <border>
      <left/>
      <right/>
      <top/>
      <bottom style="medium">
        <color rgb="FFDCDCD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wrapText="1" indent="1"/>
    </xf>
    <xf numFmtId="0" fontId="0" fillId="3" borderId="2" xfId="0" applyFill="1"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8B56D-5940-4311-AAAD-46EEC3A6A137}">
  <dimension ref="A2:EO50"/>
  <sheetViews>
    <sheetView tabSelected="1" workbookViewId="0">
      <selection activeCell="E2" sqref="E2"/>
    </sheetView>
  </sheetViews>
  <sheetFormatPr baseColWidth="10" defaultRowHeight="14.4" x14ac:dyDescent="0.3"/>
  <sheetData>
    <row r="2" spans="1:145" x14ac:dyDescent="0.3">
      <c r="B2" t="s">
        <v>0</v>
      </c>
    </row>
    <row r="3" spans="1:145" x14ac:dyDescent="0.3">
      <c r="H3">
        <v>1</v>
      </c>
      <c r="K3">
        <f>+H3+1</f>
        <v>2</v>
      </c>
      <c r="N3">
        <f>+K3+1</f>
        <v>3</v>
      </c>
      <c r="Q3">
        <f>+N3+1</f>
        <v>4</v>
      </c>
      <c r="T3">
        <f>+Q3+1</f>
        <v>5</v>
      </c>
      <c r="W3">
        <f>+T3+1</f>
        <v>6</v>
      </c>
      <c r="Z3">
        <f>+W3+1</f>
        <v>7</v>
      </c>
      <c r="AC3">
        <f>+Z3+1</f>
        <v>8</v>
      </c>
      <c r="AF3">
        <f>+AC3+1</f>
        <v>9</v>
      </c>
      <c r="AI3">
        <f>+AF3+1</f>
        <v>10</v>
      </c>
      <c r="AL3">
        <f>+AI3+1</f>
        <v>11</v>
      </c>
      <c r="AO3">
        <f>+AL3+1</f>
        <v>12</v>
      </c>
      <c r="AR3">
        <f>+AO3+1</f>
        <v>13</v>
      </c>
      <c r="AU3">
        <f>+AR3+1</f>
        <v>14</v>
      </c>
      <c r="AX3">
        <f>+AU3+1</f>
        <v>15</v>
      </c>
      <c r="BA3">
        <f>+AX3+1</f>
        <v>16</v>
      </c>
      <c r="BD3">
        <f>+BA3+1</f>
        <v>17</v>
      </c>
      <c r="BG3">
        <f>+BD3+1</f>
        <v>18</v>
      </c>
      <c r="BJ3">
        <f>+BG3+1</f>
        <v>19</v>
      </c>
      <c r="BM3">
        <f>+BJ3+1</f>
        <v>20</v>
      </c>
      <c r="BP3">
        <f>+BM3+1</f>
        <v>21</v>
      </c>
      <c r="BS3">
        <f>+BP3+1</f>
        <v>22</v>
      </c>
      <c r="BV3">
        <f>+BS3+1</f>
        <v>23</v>
      </c>
      <c r="BY3">
        <f>+BV3+1</f>
        <v>24</v>
      </c>
      <c r="CB3">
        <f>+BY3+1</f>
        <v>25</v>
      </c>
      <c r="CE3">
        <f>+CB3+1</f>
        <v>26</v>
      </c>
      <c r="CH3">
        <f>+CE3+1</f>
        <v>27</v>
      </c>
      <c r="CK3">
        <f>+CH3+1</f>
        <v>28</v>
      </c>
      <c r="CN3">
        <f>+CK3+1</f>
        <v>29</v>
      </c>
      <c r="CQ3">
        <f>+CN3+1</f>
        <v>30</v>
      </c>
      <c r="CT3">
        <f>+CQ3+1</f>
        <v>31</v>
      </c>
      <c r="CW3">
        <f>+CT3+1</f>
        <v>32</v>
      </c>
      <c r="CZ3">
        <f>+CW3+1</f>
        <v>33</v>
      </c>
      <c r="DC3">
        <f>+CZ3+1</f>
        <v>34</v>
      </c>
      <c r="DF3">
        <f>+DC3+1</f>
        <v>35</v>
      </c>
      <c r="DI3">
        <f>+DF3+1</f>
        <v>36</v>
      </c>
      <c r="DL3">
        <f>+DI3+1</f>
        <v>37</v>
      </c>
      <c r="DO3">
        <f>+DL3+1</f>
        <v>38</v>
      </c>
      <c r="DR3">
        <f>+DO3+1</f>
        <v>39</v>
      </c>
      <c r="DU3">
        <f>+DR3+1</f>
        <v>40</v>
      </c>
      <c r="DX3">
        <f>+DU3+1</f>
        <v>41</v>
      </c>
      <c r="EA3">
        <f>+DX3+1</f>
        <v>42</v>
      </c>
      <c r="ED3">
        <f>+EA3+1</f>
        <v>43</v>
      </c>
      <c r="EG3">
        <f>+ED3+1</f>
        <v>44</v>
      </c>
      <c r="EJ3">
        <f>+EG3+1</f>
        <v>45</v>
      </c>
      <c r="EM3">
        <f>+EJ3+1</f>
        <v>46</v>
      </c>
    </row>
    <row r="4" spans="1:145" x14ac:dyDescent="0.3">
      <c r="F4" t="s">
        <v>651</v>
      </c>
      <c r="H4" s="2" t="s">
        <v>1</v>
      </c>
      <c r="I4" s="3" t="s">
        <v>652</v>
      </c>
      <c r="J4" s="4" t="s">
        <v>653</v>
      </c>
      <c r="K4" s="2" t="str">
        <f>+VLOOKUP(K3,$A:$B,2,0)</f>
        <v>m</v>
      </c>
      <c r="L4" s="3" t="s">
        <v>652</v>
      </c>
      <c r="M4" s="4" t="s">
        <v>653</v>
      </c>
      <c r="N4" s="2" t="str">
        <f>+VLOOKUP(N3,$A:$B,2,0)</f>
        <v>p</v>
      </c>
      <c r="O4" s="3" t="s">
        <v>652</v>
      </c>
      <c r="P4" s="4" t="s">
        <v>653</v>
      </c>
      <c r="Q4" s="2" t="str">
        <f>+VLOOKUP(Q3,$A:$B,2,0)</f>
        <v>e</v>
      </c>
      <c r="R4" s="3" t="s">
        <v>652</v>
      </c>
      <c r="S4" s="4" t="s">
        <v>653</v>
      </c>
      <c r="T4" s="2" t="str">
        <f>+VLOOKUP(T3,$A:$B,2,0)</f>
        <v>z</v>
      </c>
      <c r="U4" s="3" t="s">
        <v>652</v>
      </c>
      <c r="V4" s="4" t="s">
        <v>653</v>
      </c>
      <c r="W4" s="2" t="str">
        <f>+VLOOKUP(W3,$A:$B,2,0)</f>
        <v>a</v>
      </c>
      <c r="X4" s="3" t="s">
        <v>652</v>
      </c>
      <c r="Y4" s="4" t="s">
        <v>653</v>
      </c>
      <c r="Z4" s="2" t="str">
        <f>+VLOOKUP(Z3,$A:$B,2,0)</f>
        <v>m</v>
      </c>
      <c r="AA4" s="3" t="s">
        <v>652</v>
      </c>
      <c r="AB4" s="4" t="s">
        <v>653</v>
      </c>
      <c r="AC4" s="2" t="str">
        <f>+VLOOKUP(AC3,$A:$B,2,0)</f>
        <v>o</v>
      </c>
      <c r="AD4" s="3" t="s">
        <v>652</v>
      </c>
      <c r="AE4" s="4" t="s">
        <v>653</v>
      </c>
      <c r="AF4" s="2" t="str">
        <f>+VLOOKUP(AF3,$A:$B,2,0)</f>
        <v>s</v>
      </c>
      <c r="AG4" s="3" t="s">
        <v>652</v>
      </c>
      <c r="AH4" s="4" t="s">
        <v>653</v>
      </c>
      <c r="AI4" s="2" t="str">
        <f>+VLOOKUP(AI3,$A:$B,2,0)</f>
        <v xml:space="preserve"> </v>
      </c>
      <c r="AJ4" s="3" t="s">
        <v>652</v>
      </c>
      <c r="AK4" s="4" t="s">
        <v>653</v>
      </c>
      <c r="AL4" s="2" t="str">
        <f>+VLOOKUP(AL3,$A:$B,2,0)</f>
        <v>e</v>
      </c>
      <c r="AM4" s="3" t="s">
        <v>652</v>
      </c>
      <c r="AN4" s="4" t="s">
        <v>653</v>
      </c>
      <c r="AO4" s="2" t="str">
        <f>+VLOOKUP(AO3,$A:$B,2,0)</f>
        <v>l</v>
      </c>
      <c r="AP4" s="3" t="s">
        <v>652</v>
      </c>
      <c r="AQ4" s="4" t="s">
        <v>653</v>
      </c>
      <c r="AR4" s="2" t="str">
        <f>+VLOOKUP(AR3,$A:$B,2,0)</f>
        <v xml:space="preserve"> </v>
      </c>
      <c r="AS4" s="3" t="s">
        <v>652</v>
      </c>
      <c r="AT4" s="4" t="s">
        <v>653</v>
      </c>
      <c r="AU4" s="2" t="str">
        <f>+VLOOKUP(AU3,$A:$B,2,0)</f>
        <v>t</v>
      </c>
      <c r="AV4" s="3" t="s">
        <v>652</v>
      </c>
      <c r="AW4" s="4" t="s">
        <v>653</v>
      </c>
      <c r="AX4" s="2" t="str">
        <f>+VLOOKUP(AX3,$A:$B,2,0)</f>
        <v>e</v>
      </c>
      <c r="AY4" s="3" t="s">
        <v>652</v>
      </c>
      <c r="AZ4" s="4" t="s">
        <v>653</v>
      </c>
      <c r="BA4" s="2" t="str">
        <f>+VLOOKUP(BA3,$A:$B,2,0)</f>
        <v>c</v>
      </c>
      <c r="BB4" s="3" t="s">
        <v>652</v>
      </c>
      <c r="BC4" s="4" t="s">
        <v>653</v>
      </c>
      <c r="BD4" s="2" t="str">
        <f>+VLOOKUP(BD3,$A:$B,2,0)</f>
        <v>n</v>
      </c>
      <c r="BE4" s="3" t="s">
        <v>652</v>
      </c>
      <c r="BF4" s="4" t="s">
        <v>653</v>
      </c>
      <c r="BG4" s="2" t="str">
        <f>+VLOOKUP(BG3,$A:$B,2,0)</f>
        <v>i</v>
      </c>
      <c r="BH4" s="3" t="s">
        <v>652</v>
      </c>
      <c r="BI4" s="4" t="s">
        <v>653</v>
      </c>
      <c r="BJ4" s="2" t="str">
        <f>+VLOOKUP(BJ3,$A:$B,2,0)</f>
        <v>c</v>
      </c>
      <c r="BK4" s="3" t="s">
        <v>652</v>
      </c>
      <c r="BL4" s="4" t="s">
        <v>653</v>
      </c>
      <c r="BM4" s="2" t="str">
        <f>+VLOOKUP(BM3,$A:$B,2,0)</f>
        <v>o</v>
      </c>
      <c r="BN4" s="3" t="s">
        <v>652</v>
      </c>
      <c r="BO4" s="4" t="s">
        <v>653</v>
      </c>
      <c r="BP4" s="2" t="str">
        <f>+VLOOKUP(BP3,$A:$B,2,0)</f>
        <v xml:space="preserve"> </v>
      </c>
      <c r="BQ4" s="3" t="s">
        <v>652</v>
      </c>
      <c r="BR4" s="4" t="s">
        <v>653</v>
      </c>
      <c r="BS4" s="2" t="str">
        <f>+VLOOKUP(BS3,$A:$B,2,0)</f>
        <v>e</v>
      </c>
      <c r="BT4" s="3" t="s">
        <v>652</v>
      </c>
      <c r="BU4" s="4" t="s">
        <v>653</v>
      </c>
      <c r="BV4" s="2" t="str">
        <f>+VLOOKUP(BV3,$A:$B,2,0)</f>
        <v>n</v>
      </c>
      <c r="BW4" s="3" t="s">
        <v>652</v>
      </c>
      <c r="BX4" s="4" t="s">
        <v>653</v>
      </c>
      <c r="BY4" s="2" t="str">
        <f>+VLOOKUP(BY3,$A:$B,2,0)</f>
        <v xml:space="preserve"> </v>
      </c>
      <c r="BZ4" s="3" t="s">
        <v>652</v>
      </c>
      <c r="CA4" s="4" t="s">
        <v>653</v>
      </c>
      <c r="CB4" s="2" t="str">
        <f>+VLOOKUP(CB3,$A:$B,2,0)</f>
        <v>l</v>
      </c>
      <c r="CC4" s="3" t="s">
        <v>652</v>
      </c>
      <c r="CD4" s="4" t="s">
        <v>653</v>
      </c>
      <c r="CE4" s="2" t="str">
        <f>+VLOOKUP(CE3,$A:$B,2,0)</f>
        <v>a</v>
      </c>
      <c r="CF4" s="3" t="s">
        <v>652</v>
      </c>
      <c r="CG4" s="4" t="s">
        <v>653</v>
      </c>
      <c r="CH4" s="2" t="str">
        <f>+VLOOKUP(CH3,$A:$B,2,0)</f>
        <v xml:space="preserve"> </v>
      </c>
      <c r="CI4" s="3" t="s">
        <v>652</v>
      </c>
      <c r="CJ4" s="4" t="s">
        <v>653</v>
      </c>
      <c r="CK4" s="2" t="str">
        <f>+VLOOKUP(CK3,$A:$B,2,0)</f>
        <v>u</v>
      </c>
      <c r="CL4" s="3" t="s">
        <v>652</v>
      </c>
      <c r="CM4" s="4" t="s">
        <v>653</v>
      </c>
      <c r="CN4" s="2" t="str">
        <f>+VLOOKUP(CN3,$A:$B,2,0)</f>
        <v>n</v>
      </c>
      <c r="CO4" s="3" t="s">
        <v>652</v>
      </c>
      <c r="CP4" s="4" t="s">
        <v>653</v>
      </c>
      <c r="CQ4" s="2" t="str">
        <f>+VLOOKUP(CQ3,$A:$B,2,0)</f>
        <v>i</v>
      </c>
      <c r="CR4" s="3" t="s">
        <v>652</v>
      </c>
      <c r="CS4" s="4" t="s">
        <v>653</v>
      </c>
      <c r="CT4" s="2" t="str">
        <f>+VLOOKUP(CT3,$A:$B,2,0)</f>
        <v>v</v>
      </c>
      <c r="CU4" s="3" t="s">
        <v>652</v>
      </c>
      <c r="CV4" s="4" t="s">
        <v>653</v>
      </c>
      <c r="CW4" s="2" t="str">
        <f>+VLOOKUP(CW3,$A:$B,2,0)</f>
        <v>e</v>
      </c>
      <c r="CX4" s="3" t="s">
        <v>652</v>
      </c>
      <c r="CY4" s="4" t="s">
        <v>653</v>
      </c>
      <c r="CZ4" s="2" t="str">
        <f>+VLOOKUP(CZ3,$A:$B,2,0)</f>
        <v>r</v>
      </c>
      <c r="DA4" s="3" t="s">
        <v>652</v>
      </c>
      <c r="DB4" s="4" t="s">
        <v>653</v>
      </c>
      <c r="DC4" s="2" t="str">
        <f>+VLOOKUP(DC3,$A:$B,2,0)</f>
        <v>s</v>
      </c>
      <c r="DD4" s="3" t="s">
        <v>652</v>
      </c>
      <c r="DE4" s="4" t="s">
        <v>653</v>
      </c>
      <c r="DF4" s="2" t="str">
        <f>+VLOOKUP(DF3,$A:$B,2,0)</f>
        <v>i</v>
      </c>
      <c r="DG4" s="3" t="s">
        <v>652</v>
      </c>
      <c r="DH4" s="4" t="s">
        <v>653</v>
      </c>
      <c r="DI4" s="2" t="str">
        <f>+VLOOKUP(DI3,$A:$B,2,0)</f>
        <v>d</v>
      </c>
      <c r="DJ4" s="3" t="s">
        <v>652</v>
      </c>
      <c r="DK4" s="4" t="s">
        <v>653</v>
      </c>
      <c r="DL4" s="2" t="str">
        <f>+VLOOKUP(DL3,$A:$B,2,0)</f>
        <v>a</v>
      </c>
      <c r="DM4" s="3" t="s">
        <v>652</v>
      </c>
      <c r="DN4" s="4" t="s">
        <v>653</v>
      </c>
      <c r="DO4" s="2" t="str">
        <f>+VLOOKUP(DO3,$A:$B,2,0)</f>
        <v>d</v>
      </c>
      <c r="DP4" s="3" t="s">
        <v>652</v>
      </c>
      <c r="DQ4" s="4" t="s">
        <v>653</v>
      </c>
      <c r="DR4" s="2" t="str">
        <f>+VLOOKUP(DR3,$A:$B,2,0)</f>
        <v xml:space="preserve"> </v>
      </c>
      <c r="DS4" s="3" t="s">
        <v>652</v>
      </c>
      <c r="DT4" s="4" t="s">
        <v>653</v>
      </c>
      <c r="DU4" s="2" t="str">
        <f>+VLOOKUP(DU3,$A:$B,2,0)</f>
        <v>g</v>
      </c>
      <c r="DV4" s="3" t="s">
        <v>652</v>
      </c>
      <c r="DW4" s="4" t="s">
        <v>653</v>
      </c>
      <c r="DX4" s="2" t="str">
        <f>+VLOOKUP(DX3,$A:$B,2,0)</f>
        <v>a</v>
      </c>
      <c r="DY4" s="3" t="s">
        <v>652</v>
      </c>
      <c r="DZ4" s="4" t="s">
        <v>653</v>
      </c>
      <c r="EA4" s="2" t="str">
        <f>+VLOOKUP(EA3,$A:$B,2,0)</f>
        <v>l</v>
      </c>
      <c r="EB4" s="3" t="s">
        <v>652</v>
      </c>
      <c r="EC4" s="4" t="s">
        <v>653</v>
      </c>
      <c r="ED4" s="2" t="str">
        <f>+VLOOKUP(ED3,$A:$B,2,0)</f>
        <v>i</v>
      </c>
      <c r="EE4" s="3" t="s">
        <v>652</v>
      </c>
      <c r="EF4" s="4" t="s">
        <v>653</v>
      </c>
      <c r="EG4" s="2" t="str">
        <f>+VLOOKUP(EG3,$A:$B,2,0)</f>
        <v>l</v>
      </c>
      <c r="EH4" s="3" t="s">
        <v>652</v>
      </c>
      <c r="EI4" s="4" t="s">
        <v>653</v>
      </c>
      <c r="EJ4" s="2" t="str">
        <f>+VLOOKUP(EJ3,$A:$B,2,0)</f>
        <v>e</v>
      </c>
      <c r="EK4" s="3" t="s">
        <v>652</v>
      </c>
      <c r="EL4" s="4" t="s">
        <v>653</v>
      </c>
      <c r="EM4" s="2" t="str">
        <f>+VLOOKUP(EM3,$A:$B,2,0)</f>
        <v>o</v>
      </c>
      <c r="EN4" s="3" t="s">
        <v>652</v>
      </c>
      <c r="EO4" s="4" t="s">
        <v>653</v>
      </c>
    </row>
    <row r="5" spans="1:145" x14ac:dyDescent="0.3">
      <c r="A5">
        <v>1</v>
      </c>
      <c r="B5" t="s">
        <v>1</v>
      </c>
      <c r="C5">
        <f>+VLOOKUP(B5,Hoja2!$G:$K,5,0)</f>
        <v>69</v>
      </c>
      <c r="D5">
        <v>69</v>
      </c>
      <c r="E5" t="s">
        <v>654</v>
      </c>
      <c r="F5" t="str">
        <f>+E5</f>
        <v>01000101</v>
      </c>
      <c r="H5" s="5">
        <v>69</v>
      </c>
      <c r="I5" s="6">
        <f>INT(H5/2)</f>
        <v>34</v>
      </c>
      <c r="J5" s="7">
        <f>MOD(H5,2)</f>
        <v>1</v>
      </c>
      <c r="K5" s="5">
        <f>+VLOOKUP(K4,$B:$D,3,0)</f>
        <v>109</v>
      </c>
      <c r="L5" s="6">
        <f>INT(K5/2)</f>
        <v>54</v>
      </c>
      <c r="M5" s="7">
        <f>MOD(K5,2)</f>
        <v>1</v>
      </c>
      <c r="N5" s="5">
        <f>+VLOOKUP(N4,$B:$D,3,0)</f>
        <v>112</v>
      </c>
      <c r="O5" s="6">
        <f>INT(N5/2)</f>
        <v>56</v>
      </c>
      <c r="P5" s="7">
        <f>MOD(N5,2)</f>
        <v>0</v>
      </c>
      <c r="Q5" s="5">
        <v>101</v>
      </c>
      <c r="R5" s="6">
        <f>INT(Q5/2)</f>
        <v>50</v>
      </c>
      <c r="S5" s="7">
        <f>MOD(Q5,2)</f>
        <v>1</v>
      </c>
      <c r="T5" s="5">
        <f>+VLOOKUP(T4,$B:$D,3,0)</f>
        <v>122</v>
      </c>
      <c r="U5" s="6">
        <f>INT(T5/2)</f>
        <v>61</v>
      </c>
      <c r="V5" s="7">
        <f>MOD(T5,2)</f>
        <v>0</v>
      </c>
      <c r="W5" s="5">
        <f>+VLOOKUP(W4,$B:$D,3,0)</f>
        <v>97</v>
      </c>
      <c r="X5" s="6">
        <f>INT(W5/2)</f>
        <v>48</v>
      </c>
      <c r="Y5" s="7">
        <f>MOD(W5,2)</f>
        <v>1</v>
      </c>
      <c r="Z5" s="5">
        <f>+VLOOKUP(Z4,$B:$D,3,0)</f>
        <v>109</v>
      </c>
      <c r="AA5" s="6">
        <f>INT(Z5/2)</f>
        <v>54</v>
      </c>
      <c r="AB5" s="7">
        <f>MOD(Z5,2)</f>
        <v>1</v>
      </c>
      <c r="AC5" s="5">
        <f>+VLOOKUP(AC4,$B:$D,3,0)</f>
        <v>111</v>
      </c>
      <c r="AD5" s="6">
        <f>INT(AC5/2)</f>
        <v>55</v>
      </c>
      <c r="AE5" s="7">
        <f>MOD(AC5,2)</f>
        <v>1</v>
      </c>
      <c r="AF5" s="5">
        <f>+VLOOKUP(AF4,$B:$D,3,0)</f>
        <v>115</v>
      </c>
      <c r="AG5" s="6">
        <f>INT(AF5/2)</f>
        <v>57</v>
      </c>
      <c r="AH5" s="7">
        <f>MOD(AF5,2)</f>
        <v>1</v>
      </c>
      <c r="AI5" s="5">
        <f>+VLOOKUP(AI4,$B:$D,3,0)</f>
        <v>32</v>
      </c>
      <c r="AJ5" s="6">
        <f>INT(AI5/2)</f>
        <v>16</v>
      </c>
      <c r="AK5" s="7">
        <f>MOD(AI5,2)</f>
        <v>0</v>
      </c>
      <c r="AL5" s="5">
        <v>101</v>
      </c>
      <c r="AM5" s="6">
        <f>INT(AL5/2)</f>
        <v>50</v>
      </c>
      <c r="AN5" s="7">
        <f>MOD(AL5,2)</f>
        <v>1</v>
      </c>
      <c r="AO5" s="5">
        <f>+VLOOKUP(AO4,$B:$D,3,0)</f>
        <v>108</v>
      </c>
      <c r="AP5" s="6">
        <f>INT(AO5/2)</f>
        <v>54</v>
      </c>
      <c r="AQ5" s="7">
        <f>MOD(AO5,2)</f>
        <v>0</v>
      </c>
      <c r="AR5" s="5">
        <f>+VLOOKUP(AR4,$B:$D,3,0)</f>
        <v>32</v>
      </c>
      <c r="AS5" s="6">
        <f>INT(AR5/2)</f>
        <v>16</v>
      </c>
      <c r="AT5" s="7">
        <f>MOD(AR5,2)</f>
        <v>0</v>
      </c>
      <c r="AU5" s="5">
        <f>+VLOOKUP(AU4,$B:$D,3,0)</f>
        <v>116</v>
      </c>
      <c r="AV5" s="6">
        <f>INT(AU5/2)</f>
        <v>58</v>
      </c>
      <c r="AW5" s="7">
        <f>MOD(AU5,2)</f>
        <v>0</v>
      </c>
      <c r="AX5" s="5">
        <v>101</v>
      </c>
      <c r="AY5" s="6">
        <f>INT(AX5/2)</f>
        <v>50</v>
      </c>
      <c r="AZ5" s="7">
        <f>MOD(AX5,2)</f>
        <v>1</v>
      </c>
      <c r="BA5" s="5">
        <f>+VLOOKUP(BA4,$B:$D,3,0)</f>
        <v>99</v>
      </c>
      <c r="BB5" s="6">
        <f>INT(BA5/2)</f>
        <v>49</v>
      </c>
      <c r="BC5" s="7">
        <f>MOD(BA5,2)</f>
        <v>1</v>
      </c>
      <c r="BD5" s="5">
        <f>+VLOOKUP(BD4,$B:$D,3,0)</f>
        <v>110</v>
      </c>
      <c r="BE5" s="6">
        <f>INT(BD5/2)</f>
        <v>55</v>
      </c>
      <c r="BF5" s="7">
        <f>MOD(BD5,2)</f>
        <v>0</v>
      </c>
      <c r="BG5" s="5">
        <f>+VLOOKUP(BG4,$B:$D,3,0)</f>
        <v>105</v>
      </c>
      <c r="BH5" s="6">
        <f>INT(BG5/2)</f>
        <v>52</v>
      </c>
      <c r="BI5" s="7">
        <f>MOD(BG5,2)</f>
        <v>1</v>
      </c>
      <c r="BJ5" s="5">
        <f>+VLOOKUP(BJ4,$B:$D,3,0)</f>
        <v>99</v>
      </c>
      <c r="BK5" s="6">
        <f>INT(BJ5/2)</f>
        <v>49</v>
      </c>
      <c r="BL5" s="7">
        <f>MOD(BJ5,2)</f>
        <v>1</v>
      </c>
      <c r="BM5" s="5">
        <f>+VLOOKUP(BM4,$B:$D,3,0)</f>
        <v>111</v>
      </c>
      <c r="BN5" s="6">
        <f>INT(BM5/2)</f>
        <v>55</v>
      </c>
      <c r="BO5" s="7">
        <f>MOD(BM5,2)</f>
        <v>1</v>
      </c>
      <c r="BP5" s="5">
        <f>+VLOOKUP(BP4,$B:$D,3,0)</f>
        <v>32</v>
      </c>
      <c r="BQ5" s="6">
        <f>INT(BP5/2)</f>
        <v>16</v>
      </c>
      <c r="BR5" s="7">
        <f>MOD(BP5,2)</f>
        <v>0</v>
      </c>
      <c r="BS5" s="5">
        <v>101</v>
      </c>
      <c r="BT5" s="6">
        <f>INT(BS5/2)</f>
        <v>50</v>
      </c>
      <c r="BU5" s="7">
        <f>MOD(BS5,2)</f>
        <v>1</v>
      </c>
      <c r="BV5" s="5">
        <f>+VLOOKUP(BV4,$B:$D,3,0)</f>
        <v>110</v>
      </c>
      <c r="BW5" s="6">
        <f>INT(BV5/2)</f>
        <v>55</v>
      </c>
      <c r="BX5" s="7">
        <f>MOD(BV5,2)</f>
        <v>0</v>
      </c>
      <c r="BY5" s="5">
        <f>+VLOOKUP(BY4,$B:$D,3,0)</f>
        <v>32</v>
      </c>
      <c r="BZ5" s="6">
        <f>INT(BY5/2)</f>
        <v>16</v>
      </c>
      <c r="CA5" s="7">
        <f>MOD(BY5,2)</f>
        <v>0</v>
      </c>
      <c r="CB5" s="5">
        <f>+VLOOKUP(CB4,$B:$D,3,0)</f>
        <v>108</v>
      </c>
      <c r="CC5" s="6">
        <f>INT(CB5/2)</f>
        <v>54</v>
      </c>
      <c r="CD5" s="7">
        <f>MOD(CB5,2)</f>
        <v>0</v>
      </c>
      <c r="CE5" s="5">
        <f>+VLOOKUP(CE4,$B:$D,3,0)</f>
        <v>97</v>
      </c>
      <c r="CF5" s="6">
        <f>INT(CE5/2)</f>
        <v>48</v>
      </c>
      <c r="CG5" s="7">
        <f>MOD(CE5,2)</f>
        <v>1</v>
      </c>
      <c r="CH5" s="5">
        <f>+VLOOKUP(CH4,$B:$D,3,0)</f>
        <v>32</v>
      </c>
      <c r="CI5" s="6">
        <f>INT(CH5/2)</f>
        <v>16</v>
      </c>
      <c r="CJ5" s="7">
        <f>MOD(CH5,2)</f>
        <v>0</v>
      </c>
      <c r="CK5" s="5">
        <f>+VLOOKUP(CK4,$B:$D,3,0)</f>
        <v>117</v>
      </c>
      <c r="CL5" s="6">
        <f>INT(CK5/2)</f>
        <v>58</v>
      </c>
      <c r="CM5" s="7">
        <f>MOD(CK5,2)</f>
        <v>1</v>
      </c>
      <c r="CN5" s="5">
        <f>+VLOOKUP(CN4,$B:$D,3,0)</f>
        <v>110</v>
      </c>
      <c r="CO5" s="6">
        <f>INT(CN5/2)</f>
        <v>55</v>
      </c>
      <c r="CP5" s="7">
        <f>MOD(CN5,2)</f>
        <v>0</v>
      </c>
      <c r="CQ5" s="5">
        <f>+VLOOKUP(CQ4,$B:$D,3,0)</f>
        <v>105</v>
      </c>
      <c r="CR5" s="6">
        <f>INT(CQ5/2)</f>
        <v>52</v>
      </c>
      <c r="CS5" s="7">
        <f>MOD(CQ5,2)</f>
        <v>1</v>
      </c>
      <c r="CT5" s="5">
        <f>+VLOOKUP(CT4,$B:$D,3,0)</f>
        <v>118</v>
      </c>
      <c r="CU5" s="6">
        <f>INT(CT5/2)</f>
        <v>59</v>
      </c>
      <c r="CV5" s="7">
        <f>MOD(CT5,2)</f>
        <v>0</v>
      </c>
      <c r="CW5" s="5">
        <v>101</v>
      </c>
      <c r="CX5" s="6">
        <f>INT(CW5/2)</f>
        <v>50</v>
      </c>
      <c r="CY5" s="7">
        <f>MOD(CW5,2)</f>
        <v>1</v>
      </c>
      <c r="CZ5" s="5">
        <f>+VLOOKUP(CZ4,$B:$D,3,0)</f>
        <v>114</v>
      </c>
      <c r="DA5" s="6">
        <f>INT(CZ5/2)</f>
        <v>57</v>
      </c>
      <c r="DB5" s="7">
        <f>MOD(CZ5,2)</f>
        <v>0</v>
      </c>
      <c r="DC5" s="5">
        <f>+VLOOKUP(DC4,$B:$D,3,0)</f>
        <v>115</v>
      </c>
      <c r="DD5" s="6">
        <f>INT(DC5/2)</f>
        <v>57</v>
      </c>
      <c r="DE5" s="7">
        <f>MOD(DC5,2)</f>
        <v>1</v>
      </c>
      <c r="DF5" s="5">
        <f>+VLOOKUP(DF4,$B:$D,3,0)</f>
        <v>105</v>
      </c>
      <c r="DG5" s="6">
        <f>INT(DF5/2)</f>
        <v>52</v>
      </c>
      <c r="DH5" s="7">
        <f>MOD(DF5,2)</f>
        <v>1</v>
      </c>
      <c r="DI5" s="5">
        <f>+VLOOKUP(DI4,$B:$D,3,0)</f>
        <v>100</v>
      </c>
      <c r="DJ5" s="6">
        <f>INT(DI5/2)</f>
        <v>50</v>
      </c>
      <c r="DK5" s="7">
        <f>MOD(DI5,2)</f>
        <v>0</v>
      </c>
      <c r="DL5" s="5">
        <f>+VLOOKUP(DL4,$B:$D,3,0)</f>
        <v>97</v>
      </c>
      <c r="DM5" s="6">
        <f>INT(DL5/2)</f>
        <v>48</v>
      </c>
      <c r="DN5" s="7">
        <f>MOD(DL5,2)</f>
        <v>1</v>
      </c>
      <c r="DO5" s="5">
        <f>+VLOOKUP(DO4,$B:$D,3,0)</f>
        <v>100</v>
      </c>
      <c r="DP5" s="6">
        <f>INT(DO5/2)</f>
        <v>50</v>
      </c>
      <c r="DQ5" s="7">
        <f>MOD(DO5,2)</f>
        <v>0</v>
      </c>
      <c r="DR5" s="5">
        <f>+VLOOKUP(DR4,$B:$D,3,0)</f>
        <v>32</v>
      </c>
      <c r="DS5" s="6">
        <f>INT(DR5/2)</f>
        <v>16</v>
      </c>
      <c r="DT5" s="7">
        <f>MOD(DR5,2)</f>
        <v>0</v>
      </c>
      <c r="DU5" s="5">
        <f>+VLOOKUP(DU4,$B:$D,3,0)</f>
        <v>103</v>
      </c>
      <c r="DV5" s="6">
        <f>INT(DU5/2)</f>
        <v>51</v>
      </c>
      <c r="DW5" s="7">
        <f>MOD(DU5,2)</f>
        <v>1</v>
      </c>
      <c r="DX5" s="5">
        <f>+VLOOKUP(DX4,$B:$D,3,0)</f>
        <v>97</v>
      </c>
      <c r="DY5" s="6">
        <f>INT(DX5/2)</f>
        <v>48</v>
      </c>
      <c r="DZ5" s="7">
        <f>MOD(DX5,2)</f>
        <v>1</v>
      </c>
      <c r="EA5" s="5">
        <f>+VLOOKUP(EA4,$B:$D,3,0)</f>
        <v>108</v>
      </c>
      <c r="EB5" s="6">
        <f>INT(EA5/2)</f>
        <v>54</v>
      </c>
      <c r="EC5" s="7">
        <f>MOD(EA5,2)</f>
        <v>0</v>
      </c>
      <c r="ED5" s="5">
        <f>+VLOOKUP(ED4,$B:$D,3,0)</f>
        <v>105</v>
      </c>
      <c r="EE5" s="6">
        <f>INT(ED5/2)</f>
        <v>52</v>
      </c>
      <c r="EF5" s="7">
        <f>MOD(ED5,2)</f>
        <v>1</v>
      </c>
      <c r="EG5" s="5">
        <f>+VLOOKUP(EG4,$B:$D,3,0)</f>
        <v>108</v>
      </c>
      <c r="EH5" s="6">
        <f>INT(EG5/2)</f>
        <v>54</v>
      </c>
      <c r="EI5" s="7">
        <f>MOD(EG5,2)</f>
        <v>0</v>
      </c>
      <c r="EJ5" s="5">
        <v>101</v>
      </c>
      <c r="EK5" s="6">
        <f>INT(EJ5/2)</f>
        <v>50</v>
      </c>
      <c r="EL5" s="7">
        <f>MOD(EJ5,2)</f>
        <v>1</v>
      </c>
      <c r="EM5" s="5">
        <f>+VLOOKUP(EM4,$B:$D,3,0)</f>
        <v>111</v>
      </c>
      <c r="EN5" s="6">
        <f>INT(EM5/2)</f>
        <v>55</v>
      </c>
      <c r="EO5" s="7">
        <f>MOD(EM5,2)</f>
        <v>1</v>
      </c>
    </row>
    <row r="6" spans="1:145" x14ac:dyDescent="0.3">
      <c r="A6">
        <f>+A5+1</f>
        <v>2</v>
      </c>
      <c r="B6" t="s">
        <v>2</v>
      </c>
      <c r="C6">
        <f>+VLOOKUP(B6,Hoja2!$A:$E,5,0)</f>
        <v>109</v>
      </c>
      <c r="D6">
        <v>109</v>
      </c>
      <c r="E6" t="s">
        <v>655</v>
      </c>
      <c r="F6" t="str">
        <f>+F5&amp;$F$4&amp;E6</f>
        <v>01000101 01101101</v>
      </c>
      <c r="H6" s="5">
        <f>+I5</f>
        <v>34</v>
      </c>
      <c r="I6" s="6">
        <f>INT(H6/2)</f>
        <v>17</v>
      </c>
      <c r="J6" s="7">
        <f>MOD(H6,2)</f>
        <v>0</v>
      </c>
      <c r="K6" s="5">
        <f>+L5</f>
        <v>54</v>
      </c>
      <c r="L6" s="6">
        <f>INT(K6/2)</f>
        <v>27</v>
      </c>
      <c r="M6" s="7">
        <f>MOD(K6,2)</f>
        <v>0</v>
      </c>
      <c r="N6" s="5">
        <f>+O5</f>
        <v>56</v>
      </c>
      <c r="O6" s="6">
        <f>INT(N6/2)</f>
        <v>28</v>
      </c>
      <c r="P6" s="7">
        <f>MOD(N6,2)</f>
        <v>0</v>
      </c>
      <c r="Q6" s="5">
        <f>+R5</f>
        <v>50</v>
      </c>
      <c r="R6" s="6">
        <f>INT(Q6/2)</f>
        <v>25</v>
      </c>
      <c r="S6" s="7">
        <f>MOD(Q6,2)</f>
        <v>0</v>
      </c>
      <c r="T6" s="5">
        <f>+U5</f>
        <v>61</v>
      </c>
      <c r="U6" s="6">
        <f>INT(T6/2)</f>
        <v>30</v>
      </c>
      <c r="V6" s="7">
        <f>MOD(T6,2)</f>
        <v>1</v>
      </c>
      <c r="W6" s="5">
        <f>+X5</f>
        <v>48</v>
      </c>
      <c r="X6" s="6">
        <f>INT(W6/2)</f>
        <v>24</v>
      </c>
      <c r="Y6" s="7">
        <f>MOD(W6,2)</f>
        <v>0</v>
      </c>
      <c r="Z6" s="5">
        <f>+AA5</f>
        <v>54</v>
      </c>
      <c r="AA6" s="6">
        <f>INT(Z6/2)</f>
        <v>27</v>
      </c>
      <c r="AB6" s="7">
        <f>MOD(Z6,2)</f>
        <v>0</v>
      </c>
      <c r="AC6" s="5">
        <f>+AD5</f>
        <v>55</v>
      </c>
      <c r="AD6" s="6">
        <f>INT(AC6/2)</f>
        <v>27</v>
      </c>
      <c r="AE6" s="7">
        <f>MOD(AC6,2)</f>
        <v>1</v>
      </c>
      <c r="AF6" s="5">
        <f>+AG5</f>
        <v>57</v>
      </c>
      <c r="AG6" s="6">
        <f>INT(AF6/2)</f>
        <v>28</v>
      </c>
      <c r="AH6" s="7">
        <f>MOD(AF6,2)</f>
        <v>1</v>
      </c>
      <c r="AI6" s="5">
        <f>+AJ5</f>
        <v>16</v>
      </c>
      <c r="AJ6" s="6">
        <f>INT(AI6/2)</f>
        <v>8</v>
      </c>
      <c r="AK6" s="7">
        <f>MOD(AI6,2)</f>
        <v>0</v>
      </c>
      <c r="AL6" s="5">
        <f>+AM5</f>
        <v>50</v>
      </c>
      <c r="AM6" s="6">
        <f>INT(AL6/2)</f>
        <v>25</v>
      </c>
      <c r="AN6" s="7">
        <f>MOD(AL6,2)</f>
        <v>0</v>
      </c>
      <c r="AO6" s="5">
        <f>+AP5</f>
        <v>54</v>
      </c>
      <c r="AP6" s="6">
        <f>INT(AO6/2)</f>
        <v>27</v>
      </c>
      <c r="AQ6" s="7">
        <f>MOD(AO6,2)</f>
        <v>0</v>
      </c>
      <c r="AR6" s="5">
        <f>+AS5</f>
        <v>16</v>
      </c>
      <c r="AS6" s="6">
        <f>INT(AR6/2)</f>
        <v>8</v>
      </c>
      <c r="AT6" s="7">
        <f>MOD(AR6,2)</f>
        <v>0</v>
      </c>
      <c r="AU6" s="5">
        <f>+AV5</f>
        <v>58</v>
      </c>
      <c r="AV6" s="6">
        <f>INT(AU6/2)</f>
        <v>29</v>
      </c>
      <c r="AW6" s="7">
        <f>MOD(AU6,2)</f>
        <v>0</v>
      </c>
      <c r="AX6" s="5">
        <f>+AY5</f>
        <v>50</v>
      </c>
      <c r="AY6" s="6">
        <f>INT(AX6/2)</f>
        <v>25</v>
      </c>
      <c r="AZ6" s="7">
        <f>MOD(AX6,2)</f>
        <v>0</v>
      </c>
      <c r="BA6" s="5">
        <f>+BB5</f>
        <v>49</v>
      </c>
      <c r="BB6" s="6">
        <f>INT(BA6/2)</f>
        <v>24</v>
      </c>
      <c r="BC6" s="7">
        <f>MOD(BA6,2)</f>
        <v>1</v>
      </c>
      <c r="BD6" s="5">
        <f>+BE5</f>
        <v>55</v>
      </c>
      <c r="BE6" s="6">
        <f>INT(BD6/2)</f>
        <v>27</v>
      </c>
      <c r="BF6" s="7">
        <f>MOD(BD6,2)</f>
        <v>1</v>
      </c>
      <c r="BG6" s="5">
        <f>+BH5</f>
        <v>52</v>
      </c>
      <c r="BH6" s="6">
        <f>INT(BG6/2)</f>
        <v>26</v>
      </c>
      <c r="BI6" s="7">
        <f>MOD(BG6,2)</f>
        <v>0</v>
      </c>
      <c r="BJ6" s="5">
        <f>+BK5</f>
        <v>49</v>
      </c>
      <c r="BK6" s="6">
        <f>INT(BJ6/2)</f>
        <v>24</v>
      </c>
      <c r="BL6" s="7">
        <f>MOD(BJ6,2)</f>
        <v>1</v>
      </c>
      <c r="BM6" s="5">
        <f>+BN5</f>
        <v>55</v>
      </c>
      <c r="BN6" s="6">
        <f>INT(BM6/2)</f>
        <v>27</v>
      </c>
      <c r="BO6" s="7">
        <f>MOD(BM6,2)</f>
        <v>1</v>
      </c>
      <c r="BP6" s="5">
        <f>+BQ5</f>
        <v>16</v>
      </c>
      <c r="BQ6" s="6">
        <f>INT(BP6/2)</f>
        <v>8</v>
      </c>
      <c r="BR6" s="7">
        <f>MOD(BP6,2)</f>
        <v>0</v>
      </c>
      <c r="BS6" s="5">
        <f>+BT5</f>
        <v>50</v>
      </c>
      <c r="BT6" s="6">
        <f>INT(BS6/2)</f>
        <v>25</v>
      </c>
      <c r="BU6" s="7">
        <f>MOD(BS6,2)</f>
        <v>0</v>
      </c>
      <c r="BV6" s="5">
        <f>+BW5</f>
        <v>55</v>
      </c>
      <c r="BW6" s="6">
        <f>INT(BV6/2)</f>
        <v>27</v>
      </c>
      <c r="BX6" s="7">
        <f>MOD(BV6,2)</f>
        <v>1</v>
      </c>
      <c r="BY6" s="5">
        <f>+BZ5</f>
        <v>16</v>
      </c>
      <c r="BZ6" s="6">
        <f>INT(BY6/2)</f>
        <v>8</v>
      </c>
      <c r="CA6" s="7">
        <f>MOD(BY6,2)</f>
        <v>0</v>
      </c>
      <c r="CB6" s="5">
        <f>+CC5</f>
        <v>54</v>
      </c>
      <c r="CC6" s="6">
        <f>INT(CB6/2)</f>
        <v>27</v>
      </c>
      <c r="CD6" s="7">
        <f>MOD(CB6,2)</f>
        <v>0</v>
      </c>
      <c r="CE6" s="5">
        <f>+CF5</f>
        <v>48</v>
      </c>
      <c r="CF6" s="6">
        <f>INT(CE6/2)</f>
        <v>24</v>
      </c>
      <c r="CG6" s="7">
        <f>MOD(CE6,2)</f>
        <v>0</v>
      </c>
      <c r="CH6" s="5">
        <f>+CI5</f>
        <v>16</v>
      </c>
      <c r="CI6" s="6">
        <f>INT(CH6/2)</f>
        <v>8</v>
      </c>
      <c r="CJ6" s="7">
        <f>MOD(CH6,2)</f>
        <v>0</v>
      </c>
      <c r="CK6" s="5">
        <f>+CL5</f>
        <v>58</v>
      </c>
      <c r="CL6" s="6">
        <f>INT(CK6/2)</f>
        <v>29</v>
      </c>
      <c r="CM6" s="7">
        <f>MOD(CK6,2)</f>
        <v>0</v>
      </c>
      <c r="CN6" s="5">
        <f>+CO5</f>
        <v>55</v>
      </c>
      <c r="CO6" s="6">
        <f>INT(CN6/2)</f>
        <v>27</v>
      </c>
      <c r="CP6" s="7">
        <f>MOD(CN6,2)</f>
        <v>1</v>
      </c>
      <c r="CQ6" s="5">
        <f>+CR5</f>
        <v>52</v>
      </c>
      <c r="CR6" s="6">
        <f>INT(CQ6/2)</f>
        <v>26</v>
      </c>
      <c r="CS6" s="7">
        <f>MOD(CQ6,2)</f>
        <v>0</v>
      </c>
      <c r="CT6" s="5">
        <f>+CU5</f>
        <v>59</v>
      </c>
      <c r="CU6" s="6">
        <f>INT(CT6/2)</f>
        <v>29</v>
      </c>
      <c r="CV6" s="7">
        <f>MOD(CT6,2)</f>
        <v>1</v>
      </c>
      <c r="CW6" s="5">
        <f>+CX5</f>
        <v>50</v>
      </c>
      <c r="CX6" s="6">
        <f>INT(CW6/2)</f>
        <v>25</v>
      </c>
      <c r="CY6" s="7">
        <f>MOD(CW6,2)</f>
        <v>0</v>
      </c>
      <c r="CZ6" s="5">
        <f>+DA5</f>
        <v>57</v>
      </c>
      <c r="DA6" s="6">
        <f>INT(CZ6/2)</f>
        <v>28</v>
      </c>
      <c r="DB6" s="7">
        <f>MOD(CZ6,2)</f>
        <v>1</v>
      </c>
      <c r="DC6" s="5">
        <f>+DD5</f>
        <v>57</v>
      </c>
      <c r="DD6" s="6">
        <f>INT(DC6/2)</f>
        <v>28</v>
      </c>
      <c r="DE6" s="7">
        <f>MOD(DC6,2)</f>
        <v>1</v>
      </c>
      <c r="DF6" s="5">
        <f>+DG5</f>
        <v>52</v>
      </c>
      <c r="DG6" s="6">
        <f>INT(DF6/2)</f>
        <v>26</v>
      </c>
      <c r="DH6" s="7">
        <f>MOD(DF6,2)</f>
        <v>0</v>
      </c>
      <c r="DI6" s="5">
        <f>+DJ5</f>
        <v>50</v>
      </c>
      <c r="DJ6" s="6">
        <f>INT(DI6/2)</f>
        <v>25</v>
      </c>
      <c r="DK6" s="7">
        <f>MOD(DI6,2)</f>
        <v>0</v>
      </c>
      <c r="DL6" s="5">
        <f>+DM5</f>
        <v>48</v>
      </c>
      <c r="DM6" s="6">
        <f>INT(DL6/2)</f>
        <v>24</v>
      </c>
      <c r="DN6" s="7">
        <f>MOD(DL6,2)</f>
        <v>0</v>
      </c>
      <c r="DO6" s="5">
        <f>+DP5</f>
        <v>50</v>
      </c>
      <c r="DP6" s="6">
        <f>INT(DO6/2)</f>
        <v>25</v>
      </c>
      <c r="DQ6" s="7">
        <f>MOD(DO6,2)</f>
        <v>0</v>
      </c>
      <c r="DR6" s="5">
        <f>+DS5</f>
        <v>16</v>
      </c>
      <c r="DS6" s="6">
        <f>INT(DR6/2)</f>
        <v>8</v>
      </c>
      <c r="DT6" s="7">
        <f>MOD(DR6,2)</f>
        <v>0</v>
      </c>
      <c r="DU6" s="5">
        <f>+DV5</f>
        <v>51</v>
      </c>
      <c r="DV6" s="6">
        <f>INT(DU6/2)</f>
        <v>25</v>
      </c>
      <c r="DW6" s="7">
        <f>MOD(DU6,2)</f>
        <v>1</v>
      </c>
      <c r="DX6" s="5">
        <f>+DY5</f>
        <v>48</v>
      </c>
      <c r="DY6" s="6">
        <f>INT(DX6/2)</f>
        <v>24</v>
      </c>
      <c r="DZ6" s="7">
        <f>MOD(DX6,2)</f>
        <v>0</v>
      </c>
      <c r="EA6" s="5">
        <f>+EB5</f>
        <v>54</v>
      </c>
      <c r="EB6" s="6">
        <f>INT(EA6/2)</f>
        <v>27</v>
      </c>
      <c r="EC6" s="7">
        <f>MOD(EA6,2)</f>
        <v>0</v>
      </c>
      <c r="ED6" s="5">
        <f>+EE5</f>
        <v>52</v>
      </c>
      <c r="EE6" s="6">
        <f>INT(ED6/2)</f>
        <v>26</v>
      </c>
      <c r="EF6" s="7">
        <f>MOD(ED6,2)</f>
        <v>0</v>
      </c>
      <c r="EG6" s="5">
        <f>+EH5</f>
        <v>54</v>
      </c>
      <c r="EH6" s="6">
        <f>INT(EG6/2)</f>
        <v>27</v>
      </c>
      <c r="EI6" s="7">
        <f>MOD(EG6,2)</f>
        <v>0</v>
      </c>
      <c r="EJ6" s="5">
        <f>+EK5</f>
        <v>50</v>
      </c>
      <c r="EK6" s="6">
        <f>INT(EJ6/2)</f>
        <v>25</v>
      </c>
      <c r="EL6" s="7">
        <f>MOD(EJ6,2)</f>
        <v>0</v>
      </c>
      <c r="EM6" s="5">
        <f>+EN5</f>
        <v>55</v>
      </c>
      <c r="EN6" s="6">
        <f>INT(EM6/2)</f>
        <v>27</v>
      </c>
      <c r="EO6" s="7">
        <f>MOD(EM6,2)</f>
        <v>1</v>
      </c>
    </row>
    <row r="7" spans="1:145" x14ac:dyDescent="0.3">
      <c r="A7">
        <f t="shared" ref="A7:A50" si="0">+A6+1</f>
        <v>3</v>
      </c>
      <c r="B7" t="s">
        <v>3</v>
      </c>
      <c r="C7">
        <f>+VLOOKUP(B7,Hoja2!$A:$E,5,0)</f>
        <v>112</v>
      </c>
      <c r="D7">
        <v>112</v>
      </c>
      <c r="E7" t="s">
        <v>656</v>
      </c>
      <c r="F7" t="str">
        <f t="shared" ref="F7:F50" si="1">+F6&amp;$F$4&amp;E7</f>
        <v>01000101 01101101 01110000</v>
      </c>
      <c r="H7" s="5">
        <f t="shared" ref="H7:H11" si="2">+I6</f>
        <v>17</v>
      </c>
      <c r="I7" s="6">
        <f t="shared" ref="I7:I11" si="3">INT(H7/2)</f>
        <v>8</v>
      </c>
      <c r="J7" s="7">
        <f t="shared" ref="J7:J11" si="4">MOD(H7,2)</f>
        <v>1</v>
      </c>
      <c r="K7" s="5">
        <f t="shared" ref="K7:K12" si="5">+L6</f>
        <v>27</v>
      </c>
      <c r="L7" s="6">
        <f t="shared" ref="L7:L11" si="6">INT(K7/2)</f>
        <v>13</v>
      </c>
      <c r="M7" s="7">
        <f t="shared" ref="M7:M12" si="7">MOD(K7,2)</f>
        <v>1</v>
      </c>
      <c r="N7" s="5">
        <f t="shared" ref="N7:N12" si="8">+O6</f>
        <v>28</v>
      </c>
      <c r="O7" s="6">
        <f t="shared" ref="O7:O11" si="9">INT(N7/2)</f>
        <v>14</v>
      </c>
      <c r="P7" s="7">
        <f t="shared" ref="P7:P12" si="10">MOD(N7,2)</f>
        <v>0</v>
      </c>
      <c r="Q7" s="5">
        <f t="shared" ref="Q7:Q12" si="11">+R6</f>
        <v>25</v>
      </c>
      <c r="R7" s="6">
        <f t="shared" ref="R7:R11" si="12">INT(Q7/2)</f>
        <v>12</v>
      </c>
      <c r="S7" s="7">
        <f t="shared" ref="S7:S12" si="13">MOD(Q7,2)</f>
        <v>1</v>
      </c>
      <c r="T7" s="5">
        <f t="shared" ref="T7:T12" si="14">+U6</f>
        <v>30</v>
      </c>
      <c r="U7" s="6">
        <f t="shared" ref="U7:U11" si="15">INT(T7/2)</f>
        <v>15</v>
      </c>
      <c r="V7" s="7">
        <f t="shared" ref="V7:V12" si="16">MOD(T7,2)</f>
        <v>0</v>
      </c>
      <c r="W7" s="5">
        <f t="shared" ref="W7:W12" si="17">+X6</f>
        <v>24</v>
      </c>
      <c r="X7" s="6">
        <f t="shared" ref="X7:X11" si="18">INT(W7/2)</f>
        <v>12</v>
      </c>
      <c r="Y7" s="7">
        <f t="shared" ref="Y7:Y12" si="19">MOD(W7,2)</f>
        <v>0</v>
      </c>
      <c r="Z7" s="5">
        <f t="shared" ref="Z7:Z12" si="20">+AA6</f>
        <v>27</v>
      </c>
      <c r="AA7" s="6">
        <f t="shared" ref="AA7:AA11" si="21">INT(Z7/2)</f>
        <v>13</v>
      </c>
      <c r="AB7" s="7">
        <f t="shared" ref="AB7:AB12" si="22">MOD(Z7,2)</f>
        <v>1</v>
      </c>
      <c r="AC7" s="5">
        <f t="shared" ref="AC7:AC12" si="23">+AD6</f>
        <v>27</v>
      </c>
      <c r="AD7" s="6">
        <f t="shared" ref="AD7:AD11" si="24">INT(AC7/2)</f>
        <v>13</v>
      </c>
      <c r="AE7" s="7">
        <f t="shared" ref="AE7:AE12" si="25">MOD(AC7,2)</f>
        <v>1</v>
      </c>
      <c r="AF7" s="5">
        <f t="shared" ref="AF7:AF12" si="26">+AG6</f>
        <v>28</v>
      </c>
      <c r="AG7" s="6">
        <f t="shared" ref="AG7:AG11" si="27">INT(AF7/2)</f>
        <v>14</v>
      </c>
      <c r="AH7" s="7">
        <f t="shared" ref="AH7:AH12" si="28">MOD(AF7,2)</f>
        <v>0</v>
      </c>
      <c r="AI7" s="5">
        <f t="shared" ref="AI7:AI12" si="29">+AJ6</f>
        <v>8</v>
      </c>
      <c r="AJ7" s="6">
        <f t="shared" ref="AJ7:AJ11" si="30">INT(AI7/2)</f>
        <v>4</v>
      </c>
      <c r="AK7" s="7">
        <f t="shared" ref="AK7:AK12" si="31">MOD(AI7,2)</f>
        <v>0</v>
      </c>
      <c r="AL7" s="5">
        <f t="shared" ref="AL7:AL12" si="32">+AM6</f>
        <v>25</v>
      </c>
      <c r="AM7" s="6">
        <f t="shared" ref="AM7:AM11" si="33">INT(AL7/2)</f>
        <v>12</v>
      </c>
      <c r="AN7" s="7">
        <f t="shared" ref="AN7:AN12" si="34">MOD(AL7,2)</f>
        <v>1</v>
      </c>
      <c r="AO7" s="5">
        <f t="shared" ref="AO7:AO12" si="35">+AP6</f>
        <v>27</v>
      </c>
      <c r="AP7" s="6">
        <f t="shared" ref="AP7:AP11" si="36">INT(AO7/2)</f>
        <v>13</v>
      </c>
      <c r="AQ7" s="7">
        <f t="shared" ref="AQ7:AQ12" si="37">MOD(AO7,2)</f>
        <v>1</v>
      </c>
      <c r="AR7" s="5">
        <f t="shared" ref="AR7:AR12" si="38">+AS6</f>
        <v>8</v>
      </c>
      <c r="AS7" s="6">
        <f t="shared" ref="AS7:AS11" si="39">INT(AR7/2)</f>
        <v>4</v>
      </c>
      <c r="AT7" s="7">
        <f t="shared" ref="AT7:AT12" si="40">MOD(AR7,2)</f>
        <v>0</v>
      </c>
      <c r="AU7" s="5">
        <f t="shared" ref="AU7:AU12" si="41">+AV6</f>
        <v>29</v>
      </c>
      <c r="AV7" s="6">
        <f t="shared" ref="AV7:AV11" si="42">INT(AU7/2)</f>
        <v>14</v>
      </c>
      <c r="AW7" s="7">
        <f t="shared" ref="AW7:AW12" si="43">MOD(AU7,2)</f>
        <v>1</v>
      </c>
      <c r="AX7" s="5">
        <f t="shared" ref="AX7:AX12" si="44">+AY6</f>
        <v>25</v>
      </c>
      <c r="AY7" s="6">
        <f t="shared" ref="AY7:AY11" si="45">INT(AX7/2)</f>
        <v>12</v>
      </c>
      <c r="AZ7" s="7">
        <f t="shared" ref="AZ7:AZ12" si="46">MOD(AX7,2)</f>
        <v>1</v>
      </c>
      <c r="BA7" s="5">
        <f t="shared" ref="BA7:BA12" si="47">+BB6</f>
        <v>24</v>
      </c>
      <c r="BB7" s="6">
        <f t="shared" ref="BB7:BB11" si="48">INT(BA7/2)</f>
        <v>12</v>
      </c>
      <c r="BC7" s="7">
        <f t="shared" ref="BC7:BC12" si="49">MOD(BA7,2)</f>
        <v>0</v>
      </c>
      <c r="BD7" s="5">
        <f t="shared" ref="BD7:BD12" si="50">+BE6</f>
        <v>27</v>
      </c>
      <c r="BE7" s="6">
        <f t="shared" ref="BE7:BE11" si="51">INT(BD7/2)</f>
        <v>13</v>
      </c>
      <c r="BF7" s="7">
        <f t="shared" ref="BF7:BF12" si="52">MOD(BD7,2)</f>
        <v>1</v>
      </c>
      <c r="BG7" s="5">
        <f t="shared" ref="BG7:BG12" si="53">+BH6</f>
        <v>26</v>
      </c>
      <c r="BH7" s="6">
        <f t="shared" ref="BH7:BH11" si="54">INT(BG7/2)</f>
        <v>13</v>
      </c>
      <c r="BI7" s="7">
        <f t="shared" ref="BI7:BI12" si="55">MOD(BG7,2)</f>
        <v>0</v>
      </c>
      <c r="BJ7" s="5">
        <f t="shared" ref="BJ7:BJ12" si="56">+BK6</f>
        <v>24</v>
      </c>
      <c r="BK7" s="6">
        <f t="shared" ref="BK7:BK11" si="57">INT(BJ7/2)</f>
        <v>12</v>
      </c>
      <c r="BL7" s="7">
        <f t="shared" ref="BL7:BL12" si="58">MOD(BJ7,2)</f>
        <v>0</v>
      </c>
      <c r="BM7" s="5">
        <f t="shared" ref="BM7:BM12" si="59">+BN6</f>
        <v>27</v>
      </c>
      <c r="BN7" s="6">
        <f t="shared" ref="BN7:BN11" si="60">INT(BM7/2)</f>
        <v>13</v>
      </c>
      <c r="BO7" s="7">
        <f t="shared" ref="BO7:BO12" si="61">MOD(BM7,2)</f>
        <v>1</v>
      </c>
      <c r="BP7" s="5">
        <f t="shared" ref="BP7:BP12" si="62">+BQ6</f>
        <v>8</v>
      </c>
      <c r="BQ7" s="6">
        <f t="shared" ref="BQ7:BQ11" si="63">INT(BP7/2)</f>
        <v>4</v>
      </c>
      <c r="BR7" s="7">
        <f t="shared" ref="BR7:BR12" si="64">MOD(BP7,2)</f>
        <v>0</v>
      </c>
      <c r="BS7" s="5">
        <f t="shared" ref="BS7:BS12" si="65">+BT6</f>
        <v>25</v>
      </c>
      <c r="BT7" s="6">
        <f t="shared" ref="BT7:BT11" si="66">INT(BS7/2)</f>
        <v>12</v>
      </c>
      <c r="BU7" s="7">
        <f t="shared" ref="BU7:BU12" si="67">MOD(BS7,2)</f>
        <v>1</v>
      </c>
      <c r="BV7" s="5">
        <f t="shared" ref="BV7:BV12" si="68">+BW6</f>
        <v>27</v>
      </c>
      <c r="BW7" s="6">
        <f t="shared" ref="BW7:BW11" si="69">INT(BV7/2)</f>
        <v>13</v>
      </c>
      <c r="BX7" s="7">
        <f t="shared" ref="BX7:BX12" si="70">MOD(BV7,2)</f>
        <v>1</v>
      </c>
      <c r="BY7" s="5">
        <f t="shared" ref="BY7:BY12" si="71">+BZ6</f>
        <v>8</v>
      </c>
      <c r="BZ7" s="6">
        <f t="shared" ref="BZ7:BZ11" si="72">INT(BY7/2)</f>
        <v>4</v>
      </c>
      <c r="CA7" s="7">
        <f t="shared" ref="CA7:CA12" si="73">MOD(BY7,2)</f>
        <v>0</v>
      </c>
      <c r="CB7" s="5">
        <f t="shared" ref="CB7:CB12" si="74">+CC6</f>
        <v>27</v>
      </c>
      <c r="CC7" s="6">
        <f t="shared" ref="CC7:CC11" si="75">INT(CB7/2)</f>
        <v>13</v>
      </c>
      <c r="CD7" s="7">
        <f t="shared" ref="CD7:CD12" si="76">MOD(CB7,2)</f>
        <v>1</v>
      </c>
      <c r="CE7" s="5">
        <f t="shared" ref="CE7:CE12" si="77">+CF6</f>
        <v>24</v>
      </c>
      <c r="CF7" s="6">
        <f t="shared" ref="CF7:CF11" si="78">INT(CE7/2)</f>
        <v>12</v>
      </c>
      <c r="CG7" s="7">
        <f t="shared" ref="CG7:CG12" si="79">MOD(CE7,2)</f>
        <v>0</v>
      </c>
      <c r="CH7" s="5">
        <f t="shared" ref="CH7:CH12" si="80">+CI6</f>
        <v>8</v>
      </c>
      <c r="CI7" s="6">
        <f t="shared" ref="CI7:CI11" si="81">INT(CH7/2)</f>
        <v>4</v>
      </c>
      <c r="CJ7" s="7">
        <f t="shared" ref="CJ7:CJ12" si="82">MOD(CH7,2)</f>
        <v>0</v>
      </c>
      <c r="CK7" s="5">
        <f t="shared" ref="CK7:CK12" si="83">+CL6</f>
        <v>29</v>
      </c>
      <c r="CL7" s="6">
        <f t="shared" ref="CL7:CL11" si="84">INT(CK7/2)</f>
        <v>14</v>
      </c>
      <c r="CM7" s="7">
        <f t="shared" ref="CM7:CM12" si="85">MOD(CK7,2)</f>
        <v>1</v>
      </c>
      <c r="CN7" s="5">
        <f t="shared" ref="CN7:CN12" si="86">+CO6</f>
        <v>27</v>
      </c>
      <c r="CO7" s="6">
        <f t="shared" ref="CO7:CO11" si="87">INT(CN7/2)</f>
        <v>13</v>
      </c>
      <c r="CP7" s="7">
        <f t="shared" ref="CP7:CP12" si="88">MOD(CN7,2)</f>
        <v>1</v>
      </c>
      <c r="CQ7" s="5">
        <f t="shared" ref="CQ7:CQ12" si="89">+CR6</f>
        <v>26</v>
      </c>
      <c r="CR7" s="6">
        <f t="shared" ref="CR7:CR11" si="90">INT(CQ7/2)</f>
        <v>13</v>
      </c>
      <c r="CS7" s="7">
        <f t="shared" ref="CS7:CS12" si="91">MOD(CQ7,2)</f>
        <v>0</v>
      </c>
      <c r="CT7" s="5">
        <f t="shared" ref="CT7:CT12" si="92">+CU6</f>
        <v>29</v>
      </c>
      <c r="CU7" s="6">
        <f t="shared" ref="CU7:CU11" si="93">INT(CT7/2)</f>
        <v>14</v>
      </c>
      <c r="CV7" s="7">
        <f t="shared" ref="CV7:CV12" si="94">MOD(CT7,2)</f>
        <v>1</v>
      </c>
      <c r="CW7" s="5">
        <f t="shared" ref="CW7:CW12" si="95">+CX6</f>
        <v>25</v>
      </c>
      <c r="CX7" s="6">
        <f t="shared" ref="CX7:CX11" si="96">INT(CW7/2)</f>
        <v>12</v>
      </c>
      <c r="CY7" s="7">
        <f t="shared" ref="CY7:CY12" si="97">MOD(CW7,2)</f>
        <v>1</v>
      </c>
      <c r="CZ7" s="5">
        <f t="shared" ref="CZ7:CZ12" si="98">+DA6</f>
        <v>28</v>
      </c>
      <c r="DA7" s="6">
        <f t="shared" ref="DA7:DA11" si="99">INT(CZ7/2)</f>
        <v>14</v>
      </c>
      <c r="DB7" s="7">
        <f t="shared" ref="DB7:DB12" si="100">MOD(CZ7,2)</f>
        <v>0</v>
      </c>
      <c r="DC7" s="5">
        <f t="shared" ref="DC7:DC12" si="101">+DD6</f>
        <v>28</v>
      </c>
      <c r="DD7" s="6">
        <f t="shared" ref="DD7:DD11" si="102">INT(DC7/2)</f>
        <v>14</v>
      </c>
      <c r="DE7" s="7">
        <f t="shared" ref="DE7:DE12" si="103">MOD(DC7,2)</f>
        <v>0</v>
      </c>
      <c r="DF7" s="5">
        <f t="shared" ref="DF7:DF12" si="104">+DG6</f>
        <v>26</v>
      </c>
      <c r="DG7" s="6">
        <f t="shared" ref="DG7:DG11" si="105">INT(DF7/2)</f>
        <v>13</v>
      </c>
      <c r="DH7" s="7">
        <f t="shared" ref="DH7:DH12" si="106">MOD(DF7,2)</f>
        <v>0</v>
      </c>
      <c r="DI7" s="5">
        <f t="shared" ref="DI7:DI12" si="107">+DJ6</f>
        <v>25</v>
      </c>
      <c r="DJ7" s="6">
        <f t="shared" ref="DJ7:DJ11" si="108">INT(DI7/2)</f>
        <v>12</v>
      </c>
      <c r="DK7" s="7">
        <f t="shared" ref="DK7:DK12" si="109">MOD(DI7,2)</f>
        <v>1</v>
      </c>
      <c r="DL7" s="5">
        <f t="shared" ref="DL7:DL12" si="110">+DM6</f>
        <v>24</v>
      </c>
      <c r="DM7" s="6">
        <f t="shared" ref="DM7:DM11" si="111">INT(DL7/2)</f>
        <v>12</v>
      </c>
      <c r="DN7" s="7">
        <f t="shared" ref="DN7:DN12" si="112">MOD(DL7,2)</f>
        <v>0</v>
      </c>
      <c r="DO7" s="5">
        <f t="shared" ref="DO7:DO12" si="113">+DP6</f>
        <v>25</v>
      </c>
      <c r="DP7" s="6">
        <f t="shared" ref="DP7:DP11" si="114">INT(DO7/2)</f>
        <v>12</v>
      </c>
      <c r="DQ7" s="7">
        <f t="shared" ref="DQ7:DQ12" si="115">MOD(DO7,2)</f>
        <v>1</v>
      </c>
      <c r="DR7" s="5">
        <f t="shared" ref="DR7:DR12" si="116">+DS6</f>
        <v>8</v>
      </c>
      <c r="DS7" s="6">
        <f t="shared" ref="DS7:DS11" si="117">INT(DR7/2)</f>
        <v>4</v>
      </c>
      <c r="DT7" s="7">
        <f t="shared" ref="DT7:DT12" si="118">MOD(DR7,2)</f>
        <v>0</v>
      </c>
      <c r="DU7" s="5">
        <f t="shared" ref="DU7:DU12" si="119">+DV6</f>
        <v>25</v>
      </c>
      <c r="DV7" s="6">
        <f t="shared" ref="DV7:DV11" si="120">INT(DU7/2)</f>
        <v>12</v>
      </c>
      <c r="DW7" s="7">
        <f t="shared" ref="DW7:DW12" si="121">MOD(DU7,2)</f>
        <v>1</v>
      </c>
      <c r="DX7" s="5">
        <f t="shared" ref="DX7:DX12" si="122">+DY6</f>
        <v>24</v>
      </c>
      <c r="DY7" s="6">
        <f t="shared" ref="DY7:DY11" si="123">INT(DX7/2)</f>
        <v>12</v>
      </c>
      <c r="DZ7" s="7">
        <f t="shared" ref="DZ7:DZ12" si="124">MOD(DX7,2)</f>
        <v>0</v>
      </c>
      <c r="EA7" s="5">
        <f t="shared" ref="EA7:EA12" si="125">+EB6</f>
        <v>27</v>
      </c>
      <c r="EB7" s="6">
        <f t="shared" ref="EB7:EB11" si="126">INT(EA7/2)</f>
        <v>13</v>
      </c>
      <c r="EC7" s="7">
        <f t="shared" ref="EC7:EC12" si="127">MOD(EA7,2)</f>
        <v>1</v>
      </c>
      <c r="ED7" s="5">
        <f t="shared" ref="ED7:ED12" si="128">+EE6</f>
        <v>26</v>
      </c>
      <c r="EE7" s="6">
        <f t="shared" ref="EE7:EE11" si="129">INT(ED7/2)</f>
        <v>13</v>
      </c>
      <c r="EF7" s="7">
        <f t="shared" ref="EF7:EF12" si="130">MOD(ED7,2)</f>
        <v>0</v>
      </c>
      <c r="EG7" s="5">
        <f t="shared" ref="EG7:EG12" si="131">+EH6</f>
        <v>27</v>
      </c>
      <c r="EH7" s="6">
        <f t="shared" ref="EH7:EH11" si="132">INT(EG7/2)</f>
        <v>13</v>
      </c>
      <c r="EI7" s="7">
        <f t="shared" ref="EI7:EI12" si="133">MOD(EG7,2)</f>
        <v>1</v>
      </c>
      <c r="EJ7" s="5">
        <f t="shared" ref="EJ7:EJ12" si="134">+EK6</f>
        <v>25</v>
      </c>
      <c r="EK7" s="6">
        <f t="shared" ref="EK7:EK11" si="135">INT(EJ7/2)</f>
        <v>12</v>
      </c>
      <c r="EL7" s="7">
        <f t="shared" ref="EL7:EL12" si="136">MOD(EJ7,2)</f>
        <v>1</v>
      </c>
      <c r="EM7" s="5">
        <f t="shared" ref="EM7:EM12" si="137">+EN6</f>
        <v>27</v>
      </c>
      <c r="EN7" s="6">
        <f t="shared" ref="EN7:EN11" si="138">INT(EM7/2)</f>
        <v>13</v>
      </c>
      <c r="EO7" s="7">
        <f t="shared" ref="EO7:EO12" si="139">MOD(EM7,2)</f>
        <v>1</v>
      </c>
    </row>
    <row r="8" spans="1:145" x14ac:dyDescent="0.3">
      <c r="A8">
        <f t="shared" si="0"/>
        <v>4</v>
      </c>
      <c r="B8" t="s">
        <v>4</v>
      </c>
      <c r="C8">
        <f>+VLOOKUP(B8,Hoja2!$A:$E,5,0)</f>
        <v>101</v>
      </c>
      <c r="D8">
        <v>101</v>
      </c>
      <c r="E8" t="s">
        <v>673</v>
      </c>
      <c r="F8" t="str">
        <f t="shared" si="1"/>
        <v>01000101 01101101 01110000 01100101</v>
      </c>
      <c r="H8" s="5">
        <f t="shared" si="2"/>
        <v>8</v>
      </c>
      <c r="I8" s="6">
        <f t="shared" si="3"/>
        <v>4</v>
      </c>
      <c r="J8" s="7">
        <f t="shared" si="4"/>
        <v>0</v>
      </c>
      <c r="K8" s="5">
        <f t="shared" si="5"/>
        <v>13</v>
      </c>
      <c r="L8" s="6">
        <f t="shared" si="6"/>
        <v>6</v>
      </c>
      <c r="M8" s="7">
        <f t="shared" si="7"/>
        <v>1</v>
      </c>
      <c r="N8" s="5">
        <f t="shared" si="8"/>
        <v>14</v>
      </c>
      <c r="O8" s="6">
        <f t="shared" si="9"/>
        <v>7</v>
      </c>
      <c r="P8" s="7">
        <f t="shared" si="10"/>
        <v>0</v>
      </c>
      <c r="Q8" s="5">
        <f t="shared" si="11"/>
        <v>12</v>
      </c>
      <c r="R8" s="6">
        <f t="shared" si="12"/>
        <v>6</v>
      </c>
      <c r="S8" s="7">
        <f t="shared" si="13"/>
        <v>0</v>
      </c>
      <c r="T8" s="5">
        <f t="shared" si="14"/>
        <v>15</v>
      </c>
      <c r="U8" s="6">
        <f t="shared" si="15"/>
        <v>7</v>
      </c>
      <c r="V8" s="7">
        <f t="shared" si="16"/>
        <v>1</v>
      </c>
      <c r="W8" s="5">
        <f t="shared" si="17"/>
        <v>12</v>
      </c>
      <c r="X8" s="6">
        <f t="shared" si="18"/>
        <v>6</v>
      </c>
      <c r="Y8" s="7">
        <f t="shared" si="19"/>
        <v>0</v>
      </c>
      <c r="Z8" s="5">
        <f t="shared" si="20"/>
        <v>13</v>
      </c>
      <c r="AA8" s="6">
        <f t="shared" si="21"/>
        <v>6</v>
      </c>
      <c r="AB8" s="7">
        <f t="shared" si="22"/>
        <v>1</v>
      </c>
      <c r="AC8" s="5">
        <f t="shared" si="23"/>
        <v>13</v>
      </c>
      <c r="AD8" s="6">
        <f t="shared" si="24"/>
        <v>6</v>
      </c>
      <c r="AE8" s="7">
        <f t="shared" si="25"/>
        <v>1</v>
      </c>
      <c r="AF8" s="5">
        <f t="shared" si="26"/>
        <v>14</v>
      </c>
      <c r="AG8" s="6">
        <f t="shared" si="27"/>
        <v>7</v>
      </c>
      <c r="AH8" s="7">
        <f t="shared" si="28"/>
        <v>0</v>
      </c>
      <c r="AI8" s="5">
        <f t="shared" si="29"/>
        <v>4</v>
      </c>
      <c r="AJ8" s="6">
        <f t="shared" si="30"/>
        <v>2</v>
      </c>
      <c r="AK8" s="7">
        <f t="shared" si="31"/>
        <v>0</v>
      </c>
      <c r="AL8" s="5">
        <f t="shared" si="32"/>
        <v>12</v>
      </c>
      <c r="AM8" s="6">
        <f t="shared" si="33"/>
        <v>6</v>
      </c>
      <c r="AN8" s="7">
        <f t="shared" si="34"/>
        <v>0</v>
      </c>
      <c r="AO8" s="5">
        <f t="shared" si="35"/>
        <v>13</v>
      </c>
      <c r="AP8" s="6">
        <f t="shared" si="36"/>
        <v>6</v>
      </c>
      <c r="AQ8" s="7">
        <f t="shared" si="37"/>
        <v>1</v>
      </c>
      <c r="AR8" s="5">
        <f t="shared" si="38"/>
        <v>4</v>
      </c>
      <c r="AS8" s="6">
        <f t="shared" si="39"/>
        <v>2</v>
      </c>
      <c r="AT8" s="7">
        <f t="shared" si="40"/>
        <v>0</v>
      </c>
      <c r="AU8" s="5">
        <f t="shared" si="41"/>
        <v>14</v>
      </c>
      <c r="AV8" s="6">
        <f t="shared" si="42"/>
        <v>7</v>
      </c>
      <c r="AW8" s="7">
        <f t="shared" si="43"/>
        <v>0</v>
      </c>
      <c r="AX8" s="5">
        <f t="shared" si="44"/>
        <v>12</v>
      </c>
      <c r="AY8" s="6">
        <f t="shared" si="45"/>
        <v>6</v>
      </c>
      <c r="AZ8" s="7">
        <f t="shared" si="46"/>
        <v>0</v>
      </c>
      <c r="BA8" s="5">
        <f t="shared" si="47"/>
        <v>12</v>
      </c>
      <c r="BB8" s="6">
        <f t="shared" si="48"/>
        <v>6</v>
      </c>
      <c r="BC8" s="7">
        <f t="shared" si="49"/>
        <v>0</v>
      </c>
      <c r="BD8" s="5">
        <f t="shared" si="50"/>
        <v>13</v>
      </c>
      <c r="BE8" s="6">
        <f t="shared" si="51"/>
        <v>6</v>
      </c>
      <c r="BF8" s="7">
        <f t="shared" si="52"/>
        <v>1</v>
      </c>
      <c r="BG8" s="5">
        <f t="shared" si="53"/>
        <v>13</v>
      </c>
      <c r="BH8" s="6">
        <f t="shared" si="54"/>
        <v>6</v>
      </c>
      <c r="BI8" s="7">
        <f t="shared" si="55"/>
        <v>1</v>
      </c>
      <c r="BJ8" s="5">
        <f t="shared" si="56"/>
        <v>12</v>
      </c>
      <c r="BK8" s="6">
        <f t="shared" si="57"/>
        <v>6</v>
      </c>
      <c r="BL8" s="7">
        <f t="shared" si="58"/>
        <v>0</v>
      </c>
      <c r="BM8" s="5">
        <f t="shared" si="59"/>
        <v>13</v>
      </c>
      <c r="BN8" s="6">
        <f t="shared" si="60"/>
        <v>6</v>
      </c>
      <c r="BO8" s="7">
        <f t="shared" si="61"/>
        <v>1</v>
      </c>
      <c r="BP8" s="5">
        <f t="shared" si="62"/>
        <v>4</v>
      </c>
      <c r="BQ8" s="6">
        <f t="shared" si="63"/>
        <v>2</v>
      </c>
      <c r="BR8" s="7">
        <f t="shared" si="64"/>
        <v>0</v>
      </c>
      <c r="BS8" s="5">
        <f t="shared" si="65"/>
        <v>12</v>
      </c>
      <c r="BT8" s="6">
        <f t="shared" si="66"/>
        <v>6</v>
      </c>
      <c r="BU8" s="7">
        <f t="shared" si="67"/>
        <v>0</v>
      </c>
      <c r="BV8" s="5">
        <f t="shared" si="68"/>
        <v>13</v>
      </c>
      <c r="BW8" s="6">
        <f t="shared" si="69"/>
        <v>6</v>
      </c>
      <c r="BX8" s="7">
        <f t="shared" si="70"/>
        <v>1</v>
      </c>
      <c r="BY8" s="5">
        <f t="shared" si="71"/>
        <v>4</v>
      </c>
      <c r="BZ8" s="6">
        <f t="shared" si="72"/>
        <v>2</v>
      </c>
      <c r="CA8" s="7">
        <f t="shared" si="73"/>
        <v>0</v>
      </c>
      <c r="CB8" s="5">
        <f t="shared" si="74"/>
        <v>13</v>
      </c>
      <c r="CC8" s="6">
        <f t="shared" si="75"/>
        <v>6</v>
      </c>
      <c r="CD8" s="7">
        <f t="shared" si="76"/>
        <v>1</v>
      </c>
      <c r="CE8" s="5">
        <f t="shared" si="77"/>
        <v>12</v>
      </c>
      <c r="CF8" s="6">
        <f t="shared" si="78"/>
        <v>6</v>
      </c>
      <c r="CG8" s="7">
        <f t="shared" si="79"/>
        <v>0</v>
      </c>
      <c r="CH8" s="5">
        <f t="shared" si="80"/>
        <v>4</v>
      </c>
      <c r="CI8" s="6">
        <f t="shared" si="81"/>
        <v>2</v>
      </c>
      <c r="CJ8" s="7">
        <f t="shared" si="82"/>
        <v>0</v>
      </c>
      <c r="CK8" s="5">
        <f t="shared" si="83"/>
        <v>14</v>
      </c>
      <c r="CL8" s="6">
        <f t="shared" si="84"/>
        <v>7</v>
      </c>
      <c r="CM8" s="7">
        <f t="shared" si="85"/>
        <v>0</v>
      </c>
      <c r="CN8" s="5">
        <f t="shared" si="86"/>
        <v>13</v>
      </c>
      <c r="CO8" s="6">
        <f t="shared" si="87"/>
        <v>6</v>
      </c>
      <c r="CP8" s="7">
        <f t="shared" si="88"/>
        <v>1</v>
      </c>
      <c r="CQ8" s="5">
        <f t="shared" si="89"/>
        <v>13</v>
      </c>
      <c r="CR8" s="6">
        <f t="shared" si="90"/>
        <v>6</v>
      </c>
      <c r="CS8" s="7">
        <f t="shared" si="91"/>
        <v>1</v>
      </c>
      <c r="CT8" s="5">
        <f t="shared" si="92"/>
        <v>14</v>
      </c>
      <c r="CU8" s="6">
        <f t="shared" si="93"/>
        <v>7</v>
      </c>
      <c r="CV8" s="7">
        <f t="shared" si="94"/>
        <v>0</v>
      </c>
      <c r="CW8" s="5">
        <f t="shared" si="95"/>
        <v>12</v>
      </c>
      <c r="CX8" s="6">
        <f t="shared" si="96"/>
        <v>6</v>
      </c>
      <c r="CY8" s="7">
        <f t="shared" si="97"/>
        <v>0</v>
      </c>
      <c r="CZ8" s="5">
        <f t="shared" si="98"/>
        <v>14</v>
      </c>
      <c r="DA8" s="6">
        <f t="shared" si="99"/>
        <v>7</v>
      </c>
      <c r="DB8" s="7">
        <f t="shared" si="100"/>
        <v>0</v>
      </c>
      <c r="DC8" s="5">
        <f t="shared" si="101"/>
        <v>14</v>
      </c>
      <c r="DD8" s="6">
        <f t="shared" si="102"/>
        <v>7</v>
      </c>
      <c r="DE8" s="7">
        <f t="shared" si="103"/>
        <v>0</v>
      </c>
      <c r="DF8" s="5">
        <f t="shared" si="104"/>
        <v>13</v>
      </c>
      <c r="DG8" s="6">
        <f t="shared" si="105"/>
        <v>6</v>
      </c>
      <c r="DH8" s="7">
        <f t="shared" si="106"/>
        <v>1</v>
      </c>
      <c r="DI8" s="5">
        <f t="shared" si="107"/>
        <v>12</v>
      </c>
      <c r="DJ8" s="6">
        <f t="shared" si="108"/>
        <v>6</v>
      </c>
      <c r="DK8" s="7">
        <f t="shared" si="109"/>
        <v>0</v>
      </c>
      <c r="DL8" s="5">
        <f t="shared" si="110"/>
        <v>12</v>
      </c>
      <c r="DM8" s="6">
        <f t="shared" si="111"/>
        <v>6</v>
      </c>
      <c r="DN8" s="7">
        <f t="shared" si="112"/>
        <v>0</v>
      </c>
      <c r="DO8" s="5">
        <f t="shared" si="113"/>
        <v>12</v>
      </c>
      <c r="DP8" s="6">
        <f t="shared" si="114"/>
        <v>6</v>
      </c>
      <c r="DQ8" s="7">
        <f t="shared" si="115"/>
        <v>0</v>
      </c>
      <c r="DR8" s="5">
        <f t="shared" si="116"/>
        <v>4</v>
      </c>
      <c r="DS8" s="6">
        <f t="shared" si="117"/>
        <v>2</v>
      </c>
      <c r="DT8" s="7">
        <f t="shared" si="118"/>
        <v>0</v>
      </c>
      <c r="DU8" s="5">
        <f t="shared" si="119"/>
        <v>12</v>
      </c>
      <c r="DV8" s="6">
        <f t="shared" si="120"/>
        <v>6</v>
      </c>
      <c r="DW8" s="7">
        <f t="shared" si="121"/>
        <v>0</v>
      </c>
      <c r="DX8" s="5">
        <f t="shared" si="122"/>
        <v>12</v>
      </c>
      <c r="DY8" s="6">
        <f t="shared" si="123"/>
        <v>6</v>
      </c>
      <c r="DZ8" s="7">
        <f t="shared" si="124"/>
        <v>0</v>
      </c>
      <c r="EA8" s="5">
        <f t="shared" si="125"/>
        <v>13</v>
      </c>
      <c r="EB8" s="6">
        <f t="shared" si="126"/>
        <v>6</v>
      </c>
      <c r="EC8" s="7">
        <f t="shared" si="127"/>
        <v>1</v>
      </c>
      <c r="ED8" s="5">
        <f t="shared" si="128"/>
        <v>13</v>
      </c>
      <c r="EE8" s="6">
        <f t="shared" si="129"/>
        <v>6</v>
      </c>
      <c r="EF8" s="7">
        <f t="shared" si="130"/>
        <v>1</v>
      </c>
      <c r="EG8" s="5">
        <f t="shared" si="131"/>
        <v>13</v>
      </c>
      <c r="EH8" s="6">
        <f t="shared" si="132"/>
        <v>6</v>
      </c>
      <c r="EI8" s="7">
        <f t="shared" si="133"/>
        <v>1</v>
      </c>
      <c r="EJ8" s="5">
        <f t="shared" si="134"/>
        <v>12</v>
      </c>
      <c r="EK8" s="6">
        <f t="shared" si="135"/>
        <v>6</v>
      </c>
      <c r="EL8" s="7">
        <f t="shared" si="136"/>
        <v>0</v>
      </c>
      <c r="EM8" s="5">
        <f t="shared" si="137"/>
        <v>13</v>
      </c>
      <c r="EN8" s="6">
        <f t="shared" si="138"/>
        <v>6</v>
      </c>
      <c r="EO8" s="7">
        <f t="shared" si="139"/>
        <v>1</v>
      </c>
    </row>
    <row r="9" spans="1:145" x14ac:dyDescent="0.3">
      <c r="A9">
        <f t="shared" si="0"/>
        <v>5</v>
      </c>
      <c r="B9" t="s">
        <v>5</v>
      </c>
      <c r="C9">
        <f>+VLOOKUP(B9,Hoja2!$A:$E,5,0)</f>
        <v>122</v>
      </c>
      <c r="D9">
        <v>122</v>
      </c>
      <c r="E9" t="s">
        <v>657</v>
      </c>
      <c r="F9" t="str">
        <f t="shared" si="1"/>
        <v>01000101 01101101 01110000 01100101 01111010</v>
      </c>
      <c r="H9" s="5">
        <f t="shared" si="2"/>
        <v>4</v>
      </c>
      <c r="I9" s="6">
        <f t="shared" si="3"/>
        <v>2</v>
      </c>
      <c r="J9" s="7">
        <f t="shared" si="4"/>
        <v>0</v>
      </c>
      <c r="K9" s="5">
        <f t="shared" si="5"/>
        <v>6</v>
      </c>
      <c r="L9" s="6">
        <f t="shared" si="6"/>
        <v>3</v>
      </c>
      <c r="M9" s="7">
        <f t="shared" si="7"/>
        <v>0</v>
      </c>
      <c r="N9" s="5">
        <f t="shared" si="8"/>
        <v>7</v>
      </c>
      <c r="O9" s="6">
        <f t="shared" si="9"/>
        <v>3</v>
      </c>
      <c r="P9" s="7">
        <f t="shared" si="10"/>
        <v>1</v>
      </c>
      <c r="Q9" s="5">
        <f t="shared" si="11"/>
        <v>6</v>
      </c>
      <c r="R9" s="6">
        <f t="shared" si="12"/>
        <v>3</v>
      </c>
      <c r="S9" s="7">
        <f t="shared" si="13"/>
        <v>0</v>
      </c>
      <c r="T9" s="5">
        <f t="shared" si="14"/>
        <v>7</v>
      </c>
      <c r="U9" s="6">
        <f t="shared" si="15"/>
        <v>3</v>
      </c>
      <c r="V9" s="7">
        <f t="shared" si="16"/>
        <v>1</v>
      </c>
      <c r="W9" s="5">
        <f t="shared" si="17"/>
        <v>6</v>
      </c>
      <c r="X9" s="6">
        <f t="shared" si="18"/>
        <v>3</v>
      </c>
      <c r="Y9" s="7">
        <f t="shared" si="19"/>
        <v>0</v>
      </c>
      <c r="Z9" s="5">
        <f t="shared" si="20"/>
        <v>6</v>
      </c>
      <c r="AA9" s="6">
        <f t="shared" si="21"/>
        <v>3</v>
      </c>
      <c r="AB9" s="7">
        <f t="shared" si="22"/>
        <v>0</v>
      </c>
      <c r="AC9" s="5">
        <f t="shared" si="23"/>
        <v>6</v>
      </c>
      <c r="AD9" s="6">
        <f t="shared" si="24"/>
        <v>3</v>
      </c>
      <c r="AE9" s="7">
        <f t="shared" si="25"/>
        <v>0</v>
      </c>
      <c r="AF9" s="5">
        <f t="shared" si="26"/>
        <v>7</v>
      </c>
      <c r="AG9" s="6">
        <f t="shared" si="27"/>
        <v>3</v>
      </c>
      <c r="AH9" s="7">
        <f t="shared" si="28"/>
        <v>1</v>
      </c>
      <c r="AI9" s="5">
        <f t="shared" si="29"/>
        <v>2</v>
      </c>
      <c r="AJ9" s="6">
        <f t="shared" si="30"/>
        <v>1</v>
      </c>
      <c r="AK9" s="7">
        <f t="shared" si="31"/>
        <v>0</v>
      </c>
      <c r="AL9" s="5">
        <f t="shared" si="32"/>
        <v>6</v>
      </c>
      <c r="AM9" s="6">
        <f t="shared" si="33"/>
        <v>3</v>
      </c>
      <c r="AN9" s="7">
        <f t="shared" si="34"/>
        <v>0</v>
      </c>
      <c r="AO9" s="5">
        <f t="shared" si="35"/>
        <v>6</v>
      </c>
      <c r="AP9" s="6">
        <f t="shared" si="36"/>
        <v>3</v>
      </c>
      <c r="AQ9" s="7">
        <f t="shared" si="37"/>
        <v>0</v>
      </c>
      <c r="AR9" s="5">
        <f t="shared" si="38"/>
        <v>2</v>
      </c>
      <c r="AS9" s="6">
        <f t="shared" si="39"/>
        <v>1</v>
      </c>
      <c r="AT9" s="7">
        <f t="shared" si="40"/>
        <v>0</v>
      </c>
      <c r="AU9" s="5">
        <f t="shared" si="41"/>
        <v>7</v>
      </c>
      <c r="AV9" s="6">
        <f t="shared" si="42"/>
        <v>3</v>
      </c>
      <c r="AW9" s="7">
        <f t="shared" si="43"/>
        <v>1</v>
      </c>
      <c r="AX9" s="5">
        <f t="shared" si="44"/>
        <v>6</v>
      </c>
      <c r="AY9" s="6">
        <f t="shared" si="45"/>
        <v>3</v>
      </c>
      <c r="AZ9" s="7">
        <f t="shared" si="46"/>
        <v>0</v>
      </c>
      <c r="BA9" s="5">
        <f t="shared" si="47"/>
        <v>6</v>
      </c>
      <c r="BB9" s="6">
        <f t="shared" si="48"/>
        <v>3</v>
      </c>
      <c r="BC9" s="7">
        <f t="shared" si="49"/>
        <v>0</v>
      </c>
      <c r="BD9" s="5">
        <f t="shared" si="50"/>
        <v>6</v>
      </c>
      <c r="BE9" s="6">
        <f t="shared" si="51"/>
        <v>3</v>
      </c>
      <c r="BF9" s="7">
        <f t="shared" si="52"/>
        <v>0</v>
      </c>
      <c r="BG9" s="5">
        <f t="shared" si="53"/>
        <v>6</v>
      </c>
      <c r="BH9" s="6">
        <f t="shared" si="54"/>
        <v>3</v>
      </c>
      <c r="BI9" s="7">
        <f t="shared" si="55"/>
        <v>0</v>
      </c>
      <c r="BJ9" s="5">
        <f t="shared" si="56"/>
        <v>6</v>
      </c>
      <c r="BK9" s="6">
        <f t="shared" si="57"/>
        <v>3</v>
      </c>
      <c r="BL9" s="7">
        <f t="shared" si="58"/>
        <v>0</v>
      </c>
      <c r="BM9" s="5">
        <f t="shared" si="59"/>
        <v>6</v>
      </c>
      <c r="BN9" s="6">
        <f t="shared" si="60"/>
        <v>3</v>
      </c>
      <c r="BO9" s="7">
        <f t="shared" si="61"/>
        <v>0</v>
      </c>
      <c r="BP9" s="5">
        <f t="shared" si="62"/>
        <v>2</v>
      </c>
      <c r="BQ9" s="6">
        <f t="shared" si="63"/>
        <v>1</v>
      </c>
      <c r="BR9" s="7">
        <f t="shared" si="64"/>
        <v>0</v>
      </c>
      <c r="BS9" s="5">
        <f t="shared" si="65"/>
        <v>6</v>
      </c>
      <c r="BT9" s="6">
        <f t="shared" si="66"/>
        <v>3</v>
      </c>
      <c r="BU9" s="7">
        <f t="shared" si="67"/>
        <v>0</v>
      </c>
      <c r="BV9" s="5">
        <f t="shared" si="68"/>
        <v>6</v>
      </c>
      <c r="BW9" s="6">
        <f t="shared" si="69"/>
        <v>3</v>
      </c>
      <c r="BX9" s="7">
        <f t="shared" si="70"/>
        <v>0</v>
      </c>
      <c r="BY9" s="5">
        <f t="shared" si="71"/>
        <v>2</v>
      </c>
      <c r="BZ9" s="6">
        <f t="shared" si="72"/>
        <v>1</v>
      </c>
      <c r="CA9" s="7">
        <f t="shared" si="73"/>
        <v>0</v>
      </c>
      <c r="CB9" s="5">
        <f t="shared" si="74"/>
        <v>6</v>
      </c>
      <c r="CC9" s="6">
        <f t="shared" si="75"/>
        <v>3</v>
      </c>
      <c r="CD9" s="7">
        <f t="shared" si="76"/>
        <v>0</v>
      </c>
      <c r="CE9" s="5">
        <f t="shared" si="77"/>
        <v>6</v>
      </c>
      <c r="CF9" s="6">
        <f t="shared" si="78"/>
        <v>3</v>
      </c>
      <c r="CG9" s="7">
        <f t="shared" si="79"/>
        <v>0</v>
      </c>
      <c r="CH9" s="5">
        <f t="shared" si="80"/>
        <v>2</v>
      </c>
      <c r="CI9" s="6">
        <f t="shared" si="81"/>
        <v>1</v>
      </c>
      <c r="CJ9" s="7">
        <f t="shared" si="82"/>
        <v>0</v>
      </c>
      <c r="CK9" s="5">
        <f t="shared" si="83"/>
        <v>7</v>
      </c>
      <c r="CL9" s="6">
        <f t="shared" si="84"/>
        <v>3</v>
      </c>
      <c r="CM9" s="7">
        <f t="shared" si="85"/>
        <v>1</v>
      </c>
      <c r="CN9" s="5">
        <f t="shared" si="86"/>
        <v>6</v>
      </c>
      <c r="CO9" s="6">
        <f t="shared" si="87"/>
        <v>3</v>
      </c>
      <c r="CP9" s="7">
        <f t="shared" si="88"/>
        <v>0</v>
      </c>
      <c r="CQ9" s="5">
        <f t="shared" si="89"/>
        <v>6</v>
      </c>
      <c r="CR9" s="6">
        <f t="shared" si="90"/>
        <v>3</v>
      </c>
      <c r="CS9" s="7">
        <f t="shared" si="91"/>
        <v>0</v>
      </c>
      <c r="CT9" s="5">
        <f t="shared" si="92"/>
        <v>7</v>
      </c>
      <c r="CU9" s="6">
        <f t="shared" si="93"/>
        <v>3</v>
      </c>
      <c r="CV9" s="7">
        <f t="shared" si="94"/>
        <v>1</v>
      </c>
      <c r="CW9" s="5">
        <f t="shared" si="95"/>
        <v>6</v>
      </c>
      <c r="CX9" s="6">
        <f t="shared" si="96"/>
        <v>3</v>
      </c>
      <c r="CY9" s="7">
        <f t="shared" si="97"/>
        <v>0</v>
      </c>
      <c r="CZ9" s="5">
        <f t="shared" si="98"/>
        <v>7</v>
      </c>
      <c r="DA9" s="6">
        <f t="shared" si="99"/>
        <v>3</v>
      </c>
      <c r="DB9" s="7">
        <f t="shared" si="100"/>
        <v>1</v>
      </c>
      <c r="DC9" s="5">
        <f t="shared" si="101"/>
        <v>7</v>
      </c>
      <c r="DD9" s="6">
        <f t="shared" si="102"/>
        <v>3</v>
      </c>
      <c r="DE9" s="7">
        <f t="shared" si="103"/>
        <v>1</v>
      </c>
      <c r="DF9" s="5">
        <f t="shared" si="104"/>
        <v>6</v>
      </c>
      <c r="DG9" s="6">
        <f t="shared" si="105"/>
        <v>3</v>
      </c>
      <c r="DH9" s="7">
        <f t="shared" si="106"/>
        <v>0</v>
      </c>
      <c r="DI9" s="5">
        <f t="shared" si="107"/>
        <v>6</v>
      </c>
      <c r="DJ9" s="6">
        <f t="shared" si="108"/>
        <v>3</v>
      </c>
      <c r="DK9" s="7">
        <f t="shared" si="109"/>
        <v>0</v>
      </c>
      <c r="DL9" s="5">
        <f t="shared" si="110"/>
        <v>6</v>
      </c>
      <c r="DM9" s="6">
        <f t="shared" si="111"/>
        <v>3</v>
      </c>
      <c r="DN9" s="7">
        <f t="shared" si="112"/>
        <v>0</v>
      </c>
      <c r="DO9" s="5">
        <f t="shared" si="113"/>
        <v>6</v>
      </c>
      <c r="DP9" s="6">
        <f t="shared" si="114"/>
        <v>3</v>
      </c>
      <c r="DQ9" s="7">
        <f t="shared" si="115"/>
        <v>0</v>
      </c>
      <c r="DR9" s="5">
        <f t="shared" si="116"/>
        <v>2</v>
      </c>
      <c r="DS9" s="6">
        <f t="shared" si="117"/>
        <v>1</v>
      </c>
      <c r="DT9" s="7">
        <f t="shared" si="118"/>
        <v>0</v>
      </c>
      <c r="DU9" s="5">
        <f t="shared" si="119"/>
        <v>6</v>
      </c>
      <c r="DV9" s="6">
        <f t="shared" si="120"/>
        <v>3</v>
      </c>
      <c r="DW9" s="7">
        <f t="shared" si="121"/>
        <v>0</v>
      </c>
      <c r="DX9" s="5">
        <f t="shared" si="122"/>
        <v>6</v>
      </c>
      <c r="DY9" s="6">
        <f t="shared" si="123"/>
        <v>3</v>
      </c>
      <c r="DZ9" s="7">
        <f t="shared" si="124"/>
        <v>0</v>
      </c>
      <c r="EA9" s="5">
        <f t="shared" si="125"/>
        <v>6</v>
      </c>
      <c r="EB9" s="6">
        <f t="shared" si="126"/>
        <v>3</v>
      </c>
      <c r="EC9" s="7">
        <f t="shared" si="127"/>
        <v>0</v>
      </c>
      <c r="ED9" s="5">
        <f t="shared" si="128"/>
        <v>6</v>
      </c>
      <c r="EE9" s="6">
        <f t="shared" si="129"/>
        <v>3</v>
      </c>
      <c r="EF9" s="7">
        <f t="shared" si="130"/>
        <v>0</v>
      </c>
      <c r="EG9" s="5">
        <f t="shared" si="131"/>
        <v>6</v>
      </c>
      <c r="EH9" s="6">
        <f t="shared" si="132"/>
        <v>3</v>
      </c>
      <c r="EI9" s="7">
        <f t="shared" si="133"/>
        <v>0</v>
      </c>
      <c r="EJ9" s="5">
        <f t="shared" si="134"/>
        <v>6</v>
      </c>
      <c r="EK9" s="6">
        <f t="shared" si="135"/>
        <v>3</v>
      </c>
      <c r="EL9" s="7">
        <f t="shared" si="136"/>
        <v>0</v>
      </c>
      <c r="EM9" s="5">
        <f t="shared" si="137"/>
        <v>6</v>
      </c>
      <c r="EN9" s="6">
        <f t="shared" si="138"/>
        <v>3</v>
      </c>
      <c r="EO9" s="7">
        <f t="shared" si="139"/>
        <v>0</v>
      </c>
    </row>
    <row r="10" spans="1:145" x14ac:dyDescent="0.3">
      <c r="A10">
        <f t="shared" si="0"/>
        <v>6</v>
      </c>
      <c r="B10" t="s">
        <v>6</v>
      </c>
      <c r="C10">
        <f>+VLOOKUP(B10,Hoja2!$A:$E,5,0)</f>
        <v>97</v>
      </c>
      <c r="D10">
        <v>97</v>
      </c>
      <c r="E10" t="s">
        <v>658</v>
      </c>
      <c r="F10" t="str">
        <f t="shared" si="1"/>
        <v>01000101 01101101 01110000 01100101 01111010 01100001</v>
      </c>
      <c r="H10" s="5">
        <f t="shared" si="2"/>
        <v>2</v>
      </c>
      <c r="I10" s="6">
        <f t="shared" si="3"/>
        <v>1</v>
      </c>
      <c r="J10" s="7">
        <f t="shared" si="4"/>
        <v>0</v>
      </c>
      <c r="K10" s="5">
        <f t="shared" si="5"/>
        <v>3</v>
      </c>
      <c r="L10" s="6">
        <f t="shared" si="6"/>
        <v>1</v>
      </c>
      <c r="M10" s="7">
        <f t="shared" si="7"/>
        <v>1</v>
      </c>
      <c r="N10" s="5">
        <f t="shared" si="8"/>
        <v>3</v>
      </c>
      <c r="O10" s="6">
        <f t="shared" si="9"/>
        <v>1</v>
      </c>
      <c r="P10" s="7">
        <f t="shared" si="10"/>
        <v>1</v>
      </c>
      <c r="Q10" s="5">
        <f t="shared" si="11"/>
        <v>3</v>
      </c>
      <c r="R10" s="6">
        <f t="shared" si="12"/>
        <v>1</v>
      </c>
      <c r="S10" s="7">
        <f t="shared" si="13"/>
        <v>1</v>
      </c>
      <c r="T10" s="5">
        <f t="shared" si="14"/>
        <v>3</v>
      </c>
      <c r="U10" s="6">
        <f t="shared" si="15"/>
        <v>1</v>
      </c>
      <c r="V10" s="7">
        <f t="shared" si="16"/>
        <v>1</v>
      </c>
      <c r="W10" s="5">
        <f t="shared" si="17"/>
        <v>3</v>
      </c>
      <c r="X10" s="6">
        <f t="shared" si="18"/>
        <v>1</v>
      </c>
      <c r="Y10" s="7">
        <f t="shared" si="19"/>
        <v>1</v>
      </c>
      <c r="Z10" s="5">
        <f t="shared" si="20"/>
        <v>3</v>
      </c>
      <c r="AA10" s="6">
        <f t="shared" si="21"/>
        <v>1</v>
      </c>
      <c r="AB10" s="7">
        <f t="shared" si="22"/>
        <v>1</v>
      </c>
      <c r="AC10" s="5">
        <f t="shared" si="23"/>
        <v>3</v>
      </c>
      <c r="AD10" s="6">
        <f t="shared" si="24"/>
        <v>1</v>
      </c>
      <c r="AE10" s="7">
        <f t="shared" si="25"/>
        <v>1</v>
      </c>
      <c r="AF10" s="5">
        <f t="shared" si="26"/>
        <v>3</v>
      </c>
      <c r="AG10" s="6">
        <f t="shared" si="27"/>
        <v>1</v>
      </c>
      <c r="AH10" s="7">
        <f t="shared" si="28"/>
        <v>1</v>
      </c>
      <c r="AI10" s="5">
        <f t="shared" si="29"/>
        <v>1</v>
      </c>
      <c r="AJ10" s="6">
        <f t="shared" si="30"/>
        <v>0</v>
      </c>
      <c r="AK10" s="7">
        <f t="shared" si="31"/>
        <v>1</v>
      </c>
      <c r="AL10" s="5">
        <f t="shared" si="32"/>
        <v>3</v>
      </c>
      <c r="AM10" s="6">
        <f t="shared" si="33"/>
        <v>1</v>
      </c>
      <c r="AN10" s="7">
        <f t="shared" si="34"/>
        <v>1</v>
      </c>
      <c r="AO10" s="5">
        <f t="shared" si="35"/>
        <v>3</v>
      </c>
      <c r="AP10" s="6">
        <f t="shared" si="36"/>
        <v>1</v>
      </c>
      <c r="AQ10" s="7">
        <f t="shared" si="37"/>
        <v>1</v>
      </c>
      <c r="AR10" s="5">
        <f t="shared" si="38"/>
        <v>1</v>
      </c>
      <c r="AS10" s="6">
        <f t="shared" si="39"/>
        <v>0</v>
      </c>
      <c r="AT10" s="7">
        <f t="shared" si="40"/>
        <v>1</v>
      </c>
      <c r="AU10" s="5">
        <f t="shared" si="41"/>
        <v>3</v>
      </c>
      <c r="AV10" s="6">
        <f t="shared" si="42"/>
        <v>1</v>
      </c>
      <c r="AW10" s="7">
        <f t="shared" si="43"/>
        <v>1</v>
      </c>
      <c r="AX10" s="5">
        <f t="shared" si="44"/>
        <v>3</v>
      </c>
      <c r="AY10" s="6">
        <f t="shared" si="45"/>
        <v>1</v>
      </c>
      <c r="AZ10" s="7">
        <f t="shared" si="46"/>
        <v>1</v>
      </c>
      <c r="BA10" s="5">
        <f t="shared" si="47"/>
        <v>3</v>
      </c>
      <c r="BB10" s="6">
        <f t="shared" si="48"/>
        <v>1</v>
      </c>
      <c r="BC10" s="7">
        <f t="shared" si="49"/>
        <v>1</v>
      </c>
      <c r="BD10" s="5">
        <f t="shared" si="50"/>
        <v>3</v>
      </c>
      <c r="BE10" s="6">
        <f t="shared" si="51"/>
        <v>1</v>
      </c>
      <c r="BF10" s="7">
        <f t="shared" si="52"/>
        <v>1</v>
      </c>
      <c r="BG10" s="5">
        <f t="shared" si="53"/>
        <v>3</v>
      </c>
      <c r="BH10" s="6">
        <f t="shared" si="54"/>
        <v>1</v>
      </c>
      <c r="BI10" s="7">
        <f t="shared" si="55"/>
        <v>1</v>
      </c>
      <c r="BJ10" s="5">
        <f t="shared" si="56"/>
        <v>3</v>
      </c>
      <c r="BK10" s="6">
        <f t="shared" si="57"/>
        <v>1</v>
      </c>
      <c r="BL10" s="7">
        <f t="shared" si="58"/>
        <v>1</v>
      </c>
      <c r="BM10" s="5">
        <f t="shared" si="59"/>
        <v>3</v>
      </c>
      <c r="BN10" s="6">
        <f t="shared" si="60"/>
        <v>1</v>
      </c>
      <c r="BO10" s="7">
        <f t="shared" si="61"/>
        <v>1</v>
      </c>
      <c r="BP10" s="5">
        <f t="shared" si="62"/>
        <v>1</v>
      </c>
      <c r="BQ10" s="6">
        <f t="shared" si="63"/>
        <v>0</v>
      </c>
      <c r="BR10" s="7">
        <f t="shared" si="64"/>
        <v>1</v>
      </c>
      <c r="BS10" s="5">
        <f t="shared" si="65"/>
        <v>3</v>
      </c>
      <c r="BT10" s="6">
        <f t="shared" si="66"/>
        <v>1</v>
      </c>
      <c r="BU10" s="7">
        <f t="shared" si="67"/>
        <v>1</v>
      </c>
      <c r="BV10" s="5">
        <f t="shared" si="68"/>
        <v>3</v>
      </c>
      <c r="BW10" s="6">
        <f t="shared" si="69"/>
        <v>1</v>
      </c>
      <c r="BX10" s="7">
        <f t="shared" si="70"/>
        <v>1</v>
      </c>
      <c r="BY10" s="5">
        <f t="shared" si="71"/>
        <v>1</v>
      </c>
      <c r="BZ10" s="6">
        <f t="shared" si="72"/>
        <v>0</v>
      </c>
      <c r="CA10" s="7">
        <f t="shared" si="73"/>
        <v>1</v>
      </c>
      <c r="CB10" s="5">
        <f t="shared" si="74"/>
        <v>3</v>
      </c>
      <c r="CC10" s="6">
        <f t="shared" si="75"/>
        <v>1</v>
      </c>
      <c r="CD10" s="7">
        <f t="shared" si="76"/>
        <v>1</v>
      </c>
      <c r="CE10" s="5">
        <f t="shared" si="77"/>
        <v>3</v>
      </c>
      <c r="CF10" s="6">
        <f t="shared" si="78"/>
        <v>1</v>
      </c>
      <c r="CG10" s="7">
        <f t="shared" si="79"/>
        <v>1</v>
      </c>
      <c r="CH10" s="5">
        <f t="shared" si="80"/>
        <v>1</v>
      </c>
      <c r="CI10" s="6">
        <f t="shared" si="81"/>
        <v>0</v>
      </c>
      <c r="CJ10" s="7">
        <f t="shared" si="82"/>
        <v>1</v>
      </c>
      <c r="CK10" s="5">
        <f t="shared" si="83"/>
        <v>3</v>
      </c>
      <c r="CL10" s="6">
        <f t="shared" si="84"/>
        <v>1</v>
      </c>
      <c r="CM10" s="7">
        <f t="shared" si="85"/>
        <v>1</v>
      </c>
      <c r="CN10" s="5">
        <f t="shared" si="86"/>
        <v>3</v>
      </c>
      <c r="CO10" s="6">
        <f t="shared" si="87"/>
        <v>1</v>
      </c>
      <c r="CP10" s="7">
        <f t="shared" si="88"/>
        <v>1</v>
      </c>
      <c r="CQ10" s="5">
        <f t="shared" si="89"/>
        <v>3</v>
      </c>
      <c r="CR10" s="6">
        <f t="shared" si="90"/>
        <v>1</v>
      </c>
      <c r="CS10" s="7">
        <f t="shared" si="91"/>
        <v>1</v>
      </c>
      <c r="CT10" s="5">
        <f t="shared" si="92"/>
        <v>3</v>
      </c>
      <c r="CU10" s="6">
        <f t="shared" si="93"/>
        <v>1</v>
      </c>
      <c r="CV10" s="7">
        <f t="shared" si="94"/>
        <v>1</v>
      </c>
      <c r="CW10" s="5">
        <f t="shared" si="95"/>
        <v>3</v>
      </c>
      <c r="CX10" s="6">
        <f t="shared" si="96"/>
        <v>1</v>
      </c>
      <c r="CY10" s="7">
        <f t="shared" si="97"/>
        <v>1</v>
      </c>
      <c r="CZ10" s="5">
        <f t="shared" si="98"/>
        <v>3</v>
      </c>
      <c r="DA10" s="6">
        <f t="shared" si="99"/>
        <v>1</v>
      </c>
      <c r="DB10" s="7">
        <f t="shared" si="100"/>
        <v>1</v>
      </c>
      <c r="DC10" s="5">
        <f t="shared" si="101"/>
        <v>3</v>
      </c>
      <c r="DD10" s="6">
        <f t="shared" si="102"/>
        <v>1</v>
      </c>
      <c r="DE10" s="7">
        <f t="shared" si="103"/>
        <v>1</v>
      </c>
      <c r="DF10" s="5">
        <f t="shared" si="104"/>
        <v>3</v>
      </c>
      <c r="DG10" s="6">
        <f t="shared" si="105"/>
        <v>1</v>
      </c>
      <c r="DH10" s="7">
        <f t="shared" si="106"/>
        <v>1</v>
      </c>
      <c r="DI10" s="5">
        <f t="shared" si="107"/>
        <v>3</v>
      </c>
      <c r="DJ10" s="6">
        <f t="shared" si="108"/>
        <v>1</v>
      </c>
      <c r="DK10" s="7">
        <f t="shared" si="109"/>
        <v>1</v>
      </c>
      <c r="DL10" s="5">
        <f t="shared" si="110"/>
        <v>3</v>
      </c>
      <c r="DM10" s="6">
        <f t="shared" si="111"/>
        <v>1</v>
      </c>
      <c r="DN10" s="7">
        <f t="shared" si="112"/>
        <v>1</v>
      </c>
      <c r="DO10" s="5">
        <f t="shared" si="113"/>
        <v>3</v>
      </c>
      <c r="DP10" s="6">
        <f t="shared" si="114"/>
        <v>1</v>
      </c>
      <c r="DQ10" s="7">
        <f t="shared" si="115"/>
        <v>1</v>
      </c>
      <c r="DR10" s="5">
        <f t="shared" si="116"/>
        <v>1</v>
      </c>
      <c r="DS10" s="6">
        <f t="shared" si="117"/>
        <v>0</v>
      </c>
      <c r="DT10" s="7">
        <f t="shared" si="118"/>
        <v>1</v>
      </c>
      <c r="DU10" s="5">
        <f t="shared" si="119"/>
        <v>3</v>
      </c>
      <c r="DV10" s="6">
        <f t="shared" si="120"/>
        <v>1</v>
      </c>
      <c r="DW10" s="7">
        <f t="shared" si="121"/>
        <v>1</v>
      </c>
      <c r="DX10" s="5">
        <f t="shared" si="122"/>
        <v>3</v>
      </c>
      <c r="DY10" s="6">
        <f t="shared" si="123"/>
        <v>1</v>
      </c>
      <c r="DZ10" s="7">
        <f t="shared" si="124"/>
        <v>1</v>
      </c>
      <c r="EA10" s="5">
        <f t="shared" si="125"/>
        <v>3</v>
      </c>
      <c r="EB10" s="6">
        <f t="shared" si="126"/>
        <v>1</v>
      </c>
      <c r="EC10" s="7">
        <f t="shared" si="127"/>
        <v>1</v>
      </c>
      <c r="ED10" s="5">
        <f t="shared" si="128"/>
        <v>3</v>
      </c>
      <c r="EE10" s="6">
        <f t="shared" si="129"/>
        <v>1</v>
      </c>
      <c r="EF10" s="7">
        <f t="shared" si="130"/>
        <v>1</v>
      </c>
      <c r="EG10" s="5">
        <f t="shared" si="131"/>
        <v>3</v>
      </c>
      <c r="EH10" s="6">
        <f t="shared" si="132"/>
        <v>1</v>
      </c>
      <c r="EI10" s="7">
        <f t="shared" si="133"/>
        <v>1</v>
      </c>
      <c r="EJ10" s="5">
        <f t="shared" si="134"/>
        <v>3</v>
      </c>
      <c r="EK10" s="6">
        <f t="shared" si="135"/>
        <v>1</v>
      </c>
      <c r="EL10" s="7">
        <f t="shared" si="136"/>
        <v>1</v>
      </c>
      <c r="EM10" s="5">
        <f t="shared" si="137"/>
        <v>3</v>
      </c>
      <c r="EN10" s="6">
        <f t="shared" si="138"/>
        <v>1</v>
      </c>
      <c r="EO10" s="7">
        <f t="shared" si="139"/>
        <v>1</v>
      </c>
    </row>
    <row r="11" spans="1:145" x14ac:dyDescent="0.3">
      <c r="A11">
        <f t="shared" si="0"/>
        <v>7</v>
      </c>
      <c r="B11" t="s">
        <v>2</v>
      </c>
      <c r="C11">
        <f>+VLOOKUP(B11,Hoja2!$A:$E,5,0)</f>
        <v>109</v>
      </c>
      <c r="D11">
        <v>109</v>
      </c>
      <c r="E11" t="s">
        <v>655</v>
      </c>
      <c r="F11" t="str">
        <f t="shared" si="1"/>
        <v>01000101 01101101 01110000 01100101 01111010 01100001 01101101</v>
      </c>
      <c r="H11" s="5">
        <f t="shared" si="2"/>
        <v>1</v>
      </c>
      <c r="I11" s="6">
        <f t="shared" si="3"/>
        <v>0</v>
      </c>
      <c r="J11" s="7">
        <f t="shared" si="4"/>
        <v>1</v>
      </c>
      <c r="K11" s="5">
        <f t="shared" si="5"/>
        <v>1</v>
      </c>
      <c r="L11" s="6">
        <f t="shared" si="6"/>
        <v>0</v>
      </c>
      <c r="M11" s="7">
        <f t="shared" si="7"/>
        <v>1</v>
      </c>
      <c r="N11" s="5">
        <f t="shared" si="8"/>
        <v>1</v>
      </c>
      <c r="O11" s="6">
        <f t="shared" si="9"/>
        <v>0</v>
      </c>
      <c r="P11" s="7">
        <f t="shared" si="10"/>
        <v>1</v>
      </c>
      <c r="Q11" s="5">
        <f t="shared" si="11"/>
        <v>1</v>
      </c>
      <c r="R11" s="6">
        <f t="shared" si="12"/>
        <v>0</v>
      </c>
      <c r="S11" s="7">
        <f t="shared" si="13"/>
        <v>1</v>
      </c>
      <c r="T11" s="5">
        <f t="shared" si="14"/>
        <v>1</v>
      </c>
      <c r="U11" s="6">
        <f t="shared" si="15"/>
        <v>0</v>
      </c>
      <c r="V11" s="7">
        <f t="shared" si="16"/>
        <v>1</v>
      </c>
      <c r="W11" s="5">
        <f t="shared" si="17"/>
        <v>1</v>
      </c>
      <c r="X11" s="6">
        <f t="shared" si="18"/>
        <v>0</v>
      </c>
      <c r="Y11" s="7">
        <f t="shared" si="19"/>
        <v>1</v>
      </c>
      <c r="Z11" s="5">
        <f t="shared" si="20"/>
        <v>1</v>
      </c>
      <c r="AA11" s="6">
        <f t="shared" si="21"/>
        <v>0</v>
      </c>
      <c r="AB11" s="7">
        <f t="shared" si="22"/>
        <v>1</v>
      </c>
      <c r="AC11" s="5">
        <f t="shared" si="23"/>
        <v>1</v>
      </c>
      <c r="AD11" s="6">
        <f t="shared" si="24"/>
        <v>0</v>
      </c>
      <c r="AE11" s="7">
        <f t="shared" si="25"/>
        <v>1</v>
      </c>
      <c r="AF11" s="5">
        <f t="shared" si="26"/>
        <v>1</v>
      </c>
      <c r="AG11" s="6">
        <f t="shared" si="27"/>
        <v>0</v>
      </c>
      <c r="AH11" s="7">
        <f t="shared" si="28"/>
        <v>1</v>
      </c>
      <c r="AI11" s="5">
        <f t="shared" si="29"/>
        <v>0</v>
      </c>
      <c r="AJ11" s="6">
        <f t="shared" si="30"/>
        <v>0</v>
      </c>
      <c r="AK11" s="7">
        <f t="shared" si="31"/>
        <v>0</v>
      </c>
      <c r="AL11" s="5">
        <f t="shared" si="32"/>
        <v>1</v>
      </c>
      <c r="AM11" s="6">
        <f t="shared" si="33"/>
        <v>0</v>
      </c>
      <c r="AN11" s="7">
        <f t="shared" si="34"/>
        <v>1</v>
      </c>
      <c r="AO11" s="5">
        <f t="shared" si="35"/>
        <v>1</v>
      </c>
      <c r="AP11" s="6">
        <f t="shared" si="36"/>
        <v>0</v>
      </c>
      <c r="AQ11" s="7">
        <f t="shared" si="37"/>
        <v>1</v>
      </c>
      <c r="AR11" s="5">
        <f t="shared" si="38"/>
        <v>0</v>
      </c>
      <c r="AS11" s="6">
        <f t="shared" si="39"/>
        <v>0</v>
      </c>
      <c r="AT11" s="7">
        <f t="shared" si="40"/>
        <v>0</v>
      </c>
      <c r="AU11" s="5">
        <f t="shared" si="41"/>
        <v>1</v>
      </c>
      <c r="AV11" s="6">
        <f t="shared" si="42"/>
        <v>0</v>
      </c>
      <c r="AW11" s="7">
        <f t="shared" si="43"/>
        <v>1</v>
      </c>
      <c r="AX11" s="5">
        <f t="shared" si="44"/>
        <v>1</v>
      </c>
      <c r="AY11" s="6">
        <f t="shared" si="45"/>
        <v>0</v>
      </c>
      <c r="AZ11" s="7">
        <f t="shared" si="46"/>
        <v>1</v>
      </c>
      <c r="BA11" s="5">
        <f t="shared" si="47"/>
        <v>1</v>
      </c>
      <c r="BB11" s="6">
        <f t="shared" si="48"/>
        <v>0</v>
      </c>
      <c r="BC11" s="7">
        <f t="shared" si="49"/>
        <v>1</v>
      </c>
      <c r="BD11" s="5">
        <f t="shared" si="50"/>
        <v>1</v>
      </c>
      <c r="BE11" s="6">
        <f t="shared" si="51"/>
        <v>0</v>
      </c>
      <c r="BF11" s="7">
        <f t="shared" si="52"/>
        <v>1</v>
      </c>
      <c r="BG11" s="5">
        <f t="shared" si="53"/>
        <v>1</v>
      </c>
      <c r="BH11" s="6">
        <f t="shared" si="54"/>
        <v>0</v>
      </c>
      <c r="BI11" s="7">
        <f t="shared" si="55"/>
        <v>1</v>
      </c>
      <c r="BJ11" s="5">
        <f t="shared" si="56"/>
        <v>1</v>
      </c>
      <c r="BK11" s="6">
        <f t="shared" si="57"/>
        <v>0</v>
      </c>
      <c r="BL11" s="7">
        <f t="shared" si="58"/>
        <v>1</v>
      </c>
      <c r="BM11" s="5">
        <f t="shared" si="59"/>
        <v>1</v>
      </c>
      <c r="BN11" s="6">
        <f t="shared" si="60"/>
        <v>0</v>
      </c>
      <c r="BO11" s="7">
        <f t="shared" si="61"/>
        <v>1</v>
      </c>
      <c r="BP11" s="5">
        <f t="shared" si="62"/>
        <v>0</v>
      </c>
      <c r="BQ11" s="6">
        <f t="shared" si="63"/>
        <v>0</v>
      </c>
      <c r="BR11" s="7">
        <f t="shared" si="64"/>
        <v>0</v>
      </c>
      <c r="BS11" s="5">
        <f t="shared" si="65"/>
        <v>1</v>
      </c>
      <c r="BT11" s="6">
        <f t="shared" si="66"/>
        <v>0</v>
      </c>
      <c r="BU11" s="7">
        <f t="shared" si="67"/>
        <v>1</v>
      </c>
      <c r="BV11" s="5">
        <f t="shared" si="68"/>
        <v>1</v>
      </c>
      <c r="BW11" s="6">
        <f t="shared" si="69"/>
        <v>0</v>
      </c>
      <c r="BX11" s="7">
        <f t="shared" si="70"/>
        <v>1</v>
      </c>
      <c r="BY11" s="5">
        <f t="shared" si="71"/>
        <v>0</v>
      </c>
      <c r="BZ11" s="6">
        <f t="shared" si="72"/>
        <v>0</v>
      </c>
      <c r="CA11" s="7">
        <f t="shared" si="73"/>
        <v>0</v>
      </c>
      <c r="CB11" s="5">
        <f t="shared" si="74"/>
        <v>1</v>
      </c>
      <c r="CC11" s="6">
        <f t="shared" si="75"/>
        <v>0</v>
      </c>
      <c r="CD11" s="7">
        <f t="shared" si="76"/>
        <v>1</v>
      </c>
      <c r="CE11" s="5">
        <f t="shared" si="77"/>
        <v>1</v>
      </c>
      <c r="CF11" s="6">
        <f t="shared" si="78"/>
        <v>0</v>
      </c>
      <c r="CG11" s="7">
        <f t="shared" si="79"/>
        <v>1</v>
      </c>
      <c r="CH11" s="5">
        <f t="shared" si="80"/>
        <v>0</v>
      </c>
      <c r="CI11" s="6">
        <f t="shared" si="81"/>
        <v>0</v>
      </c>
      <c r="CJ11" s="7">
        <f t="shared" si="82"/>
        <v>0</v>
      </c>
      <c r="CK11" s="5">
        <f t="shared" si="83"/>
        <v>1</v>
      </c>
      <c r="CL11" s="6">
        <f t="shared" si="84"/>
        <v>0</v>
      </c>
      <c r="CM11" s="7">
        <f t="shared" si="85"/>
        <v>1</v>
      </c>
      <c r="CN11" s="5">
        <f t="shared" si="86"/>
        <v>1</v>
      </c>
      <c r="CO11" s="6">
        <f t="shared" si="87"/>
        <v>0</v>
      </c>
      <c r="CP11" s="7">
        <f t="shared" si="88"/>
        <v>1</v>
      </c>
      <c r="CQ11" s="5">
        <f t="shared" si="89"/>
        <v>1</v>
      </c>
      <c r="CR11" s="6">
        <f t="shared" si="90"/>
        <v>0</v>
      </c>
      <c r="CS11" s="7">
        <f t="shared" si="91"/>
        <v>1</v>
      </c>
      <c r="CT11" s="5">
        <f t="shared" si="92"/>
        <v>1</v>
      </c>
      <c r="CU11" s="6">
        <f t="shared" si="93"/>
        <v>0</v>
      </c>
      <c r="CV11" s="7">
        <f t="shared" si="94"/>
        <v>1</v>
      </c>
      <c r="CW11" s="5">
        <f t="shared" si="95"/>
        <v>1</v>
      </c>
      <c r="CX11" s="6">
        <f t="shared" si="96"/>
        <v>0</v>
      </c>
      <c r="CY11" s="7">
        <f t="shared" si="97"/>
        <v>1</v>
      </c>
      <c r="CZ11" s="5">
        <f t="shared" si="98"/>
        <v>1</v>
      </c>
      <c r="DA11" s="6">
        <f t="shared" si="99"/>
        <v>0</v>
      </c>
      <c r="DB11" s="7">
        <f t="shared" si="100"/>
        <v>1</v>
      </c>
      <c r="DC11" s="5">
        <f t="shared" si="101"/>
        <v>1</v>
      </c>
      <c r="DD11" s="6">
        <f t="shared" si="102"/>
        <v>0</v>
      </c>
      <c r="DE11" s="7">
        <f t="shared" si="103"/>
        <v>1</v>
      </c>
      <c r="DF11" s="5">
        <f t="shared" si="104"/>
        <v>1</v>
      </c>
      <c r="DG11" s="6">
        <f t="shared" si="105"/>
        <v>0</v>
      </c>
      <c r="DH11" s="7">
        <f t="shared" si="106"/>
        <v>1</v>
      </c>
      <c r="DI11" s="5">
        <f t="shared" si="107"/>
        <v>1</v>
      </c>
      <c r="DJ11" s="6">
        <f t="shared" si="108"/>
        <v>0</v>
      </c>
      <c r="DK11" s="7">
        <f t="shared" si="109"/>
        <v>1</v>
      </c>
      <c r="DL11" s="5">
        <f t="shared" si="110"/>
        <v>1</v>
      </c>
      <c r="DM11" s="6">
        <f t="shared" si="111"/>
        <v>0</v>
      </c>
      <c r="DN11" s="7">
        <f t="shared" si="112"/>
        <v>1</v>
      </c>
      <c r="DO11" s="5">
        <f t="shared" si="113"/>
        <v>1</v>
      </c>
      <c r="DP11" s="6">
        <f t="shared" si="114"/>
        <v>0</v>
      </c>
      <c r="DQ11" s="7">
        <f t="shared" si="115"/>
        <v>1</v>
      </c>
      <c r="DR11" s="5">
        <f t="shared" si="116"/>
        <v>0</v>
      </c>
      <c r="DS11" s="6">
        <f t="shared" si="117"/>
        <v>0</v>
      </c>
      <c r="DT11" s="7">
        <f t="shared" si="118"/>
        <v>0</v>
      </c>
      <c r="DU11" s="5">
        <f t="shared" si="119"/>
        <v>1</v>
      </c>
      <c r="DV11" s="6">
        <f t="shared" si="120"/>
        <v>0</v>
      </c>
      <c r="DW11" s="7">
        <f t="shared" si="121"/>
        <v>1</v>
      </c>
      <c r="DX11" s="5">
        <f t="shared" si="122"/>
        <v>1</v>
      </c>
      <c r="DY11" s="6">
        <f t="shared" si="123"/>
        <v>0</v>
      </c>
      <c r="DZ11" s="7">
        <f t="shared" si="124"/>
        <v>1</v>
      </c>
      <c r="EA11" s="5">
        <f t="shared" si="125"/>
        <v>1</v>
      </c>
      <c r="EB11" s="6">
        <f t="shared" si="126"/>
        <v>0</v>
      </c>
      <c r="EC11" s="7">
        <f t="shared" si="127"/>
        <v>1</v>
      </c>
      <c r="ED11" s="5">
        <f t="shared" si="128"/>
        <v>1</v>
      </c>
      <c r="EE11" s="6">
        <f t="shared" si="129"/>
        <v>0</v>
      </c>
      <c r="EF11" s="7">
        <f t="shared" si="130"/>
        <v>1</v>
      </c>
      <c r="EG11" s="5">
        <f t="shared" si="131"/>
        <v>1</v>
      </c>
      <c r="EH11" s="6">
        <f t="shared" si="132"/>
        <v>0</v>
      </c>
      <c r="EI11" s="7">
        <f t="shared" si="133"/>
        <v>1</v>
      </c>
      <c r="EJ11" s="5">
        <f t="shared" si="134"/>
        <v>1</v>
      </c>
      <c r="EK11" s="6">
        <f t="shared" si="135"/>
        <v>0</v>
      </c>
      <c r="EL11" s="7">
        <f t="shared" si="136"/>
        <v>1</v>
      </c>
      <c r="EM11" s="5">
        <f t="shared" si="137"/>
        <v>1</v>
      </c>
      <c r="EN11" s="6">
        <f t="shared" si="138"/>
        <v>0</v>
      </c>
      <c r="EO11" s="7">
        <f t="shared" si="139"/>
        <v>1</v>
      </c>
    </row>
    <row r="12" spans="1:145" x14ac:dyDescent="0.3">
      <c r="A12">
        <f t="shared" si="0"/>
        <v>8</v>
      </c>
      <c r="B12" t="s">
        <v>7</v>
      </c>
      <c r="C12">
        <f>+VLOOKUP(B12,Hoja2!$A:$E,5,0)</f>
        <v>111</v>
      </c>
      <c r="D12">
        <v>111</v>
      </c>
      <c r="E12" t="s">
        <v>659</v>
      </c>
      <c r="F12" t="str">
        <f t="shared" si="1"/>
        <v>01000101 01101101 01110000 01100101 01111010 01100001 01101101 01101111</v>
      </c>
      <c r="H12" s="5"/>
      <c r="I12" s="6"/>
      <c r="J12" s="7"/>
      <c r="K12" s="5"/>
      <c r="L12" s="6"/>
      <c r="M12" s="7"/>
      <c r="N12" s="5"/>
      <c r="O12" s="6"/>
      <c r="P12" s="7"/>
      <c r="Q12" s="5"/>
      <c r="R12" s="6"/>
      <c r="S12" s="7"/>
      <c r="T12" s="5"/>
      <c r="U12" s="6"/>
      <c r="V12" s="7"/>
      <c r="W12" s="5"/>
      <c r="X12" s="6"/>
      <c r="Y12" s="7"/>
      <c r="Z12" s="5"/>
      <c r="AA12" s="6"/>
      <c r="AB12" s="7"/>
      <c r="AC12" s="5"/>
      <c r="AD12" s="6"/>
      <c r="AE12" s="7"/>
      <c r="AF12" s="5"/>
      <c r="AG12" s="6"/>
      <c r="AH12" s="7"/>
      <c r="AI12" s="5"/>
      <c r="AJ12" s="6"/>
      <c r="AK12" s="7"/>
      <c r="AL12" s="5"/>
      <c r="AM12" s="6"/>
      <c r="AN12" s="7"/>
      <c r="AO12" s="5"/>
      <c r="AP12" s="6"/>
      <c r="AQ12" s="7"/>
      <c r="AR12" s="5"/>
      <c r="AS12" s="6"/>
      <c r="AT12" s="7"/>
      <c r="AU12" s="5"/>
      <c r="AV12" s="6"/>
      <c r="AW12" s="7"/>
      <c r="AX12" s="5"/>
      <c r="AY12" s="6"/>
      <c r="AZ12" s="7"/>
      <c r="BA12" s="5"/>
      <c r="BB12" s="6"/>
      <c r="BC12" s="7"/>
      <c r="BD12" s="5"/>
      <c r="BE12" s="6"/>
      <c r="BF12" s="7"/>
      <c r="BG12" s="5"/>
      <c r="BH12" s="6"/>
      <c r="BI12" s="7"/>
      <c r="BJ12" s="5"/>
      <c r="BK12" s="6"/>
      <c r="BL12" s="7"/>
      <c r="BM12" s="5"/>
      <c r="BN12" s="6"/>
      <c r="BO12" s="7"/>
      <c r="BP12" s="5"/>
      <c r="BQ12" s="6"/>
      <c r="BR12" s="7"/>
      <c r="BS12" s="5"/>
      <c r="BT12" s="6"/>
      <c r="BU12" s="7"/>
      <c r="BV12" s="5"/>
      <c r="BW12" s="6"/>
      <c r="BX12" s="7"/>
      <c r="BY12" s="5"/>
      <c r="BZ12" s="6"/>
      <c r="CA12" s="7"/>
      <c r="CB12" s="5"/>
      <c r="CC12" s="6"/>
      <c r="CD12" s="7"/>
      <c r="CE12" s="5"/>
      <c r="CF12" s="6"/>
      <c r="CG12" s="7"/>
      <c r="CH12" s="5"/>
      <c r="CI12" s="6"/>
      <c r="CJ12" s="7"/>
      <c r="CK12" s="5"/>
      <c r="CL12" s="6"/>
      <c r="CM12" s="7"/>
      <c r="CN12" s="5"/>
      <c r="CO12" s="6"/>
      <c r="CP12" s="7"/>
      <c r="CQ12" s="5"/>
      <c r="CR12" s="6"/>
      <c r="CS12" s="7"/>
      <c r="CT12" s="5"/>
      <c r="CU12" s="6"/>
      <c r="CV12" s="7"/>
      <c r="CW12" s="5"/>
      <c r="CX12" s="6"/>
      <c r="CY12" s="7"/>
      <c r="CZ12" s="5"/>
      <c r="DA12" s="6"/>
      <c r="DB12" s="7"/>
      <c r="DC12" s="5"/>
      <c r="DD12" s="6"/>
      <c r="DE12" s="7"/>
      <c r="DF12" s="5"/>
      <c r="DG12" s="6"/>
      <c r="DH12" s="7"/>
      <c r="DI12" s="5"/>
      <c r="DJ12" s="6"/>
      <c r="DK12" s="7"/>
      <c r="DL12" s="5"/>
      <c r="DM12" s="6"/>
      <c r="DN12" s="7"/>
      <c r="DO12" s="5"/>
      <c r="DP12" s="6"/>
      <c r="DQ12" s="7"/>
      <c r="DR12" s="5"/>
      <c r="DS12" s="6"/>
      <c r="DT12" s="7"/>
      <c r="DU12" s="5"/>
      <c r="DV12" s="6"/>
      <c r="DW12" s="7"/>
      <c r="DX12" s="5"/>
      <c r="DY12" s="6"/>
      <c r="DZ12" s="7"/>
      <c r="EA12" s="5"/>
      <c r="EB12" s="6"/>
      <c r="EC12" s="7"/>
      <c r="ED12" s="5"/>
      <c r="EE12" s="6"/>
      <c r="EF12" s="7"/>
      <c r="EG12" s="5"/>
      <c r="EH12" s="6"/>
      <c r="EI12" s="7"/>
      <c r="EJ12" s="5"/>
      <c r="EK12" s="6"/>
      <c r="EL12" s="7"/>
      <c r="EM12" s="5"/>
      <c r="EN12" s="6"/>
      <c r="EO12" s="7"/>
    </row>
    <row r="13" spans="1:145" x14ac:dyDescent="0.3">
      <c r="A13">
        <f t="shared" si="0"/>
        <v>9</v>
      </c>
      <c r="B13" t="s">
        <v>8</v>
      </c>
      <c r="C13">
        <f>+VLOOKUP(B13,Hoja2!$A:$E,5,0)</f>
        <v>115</v>
      </c>
      <c r="D13">
        <v>115</v>
      </c>
      <c r="E13" t="s">
        <v>660</v>
      </c>
      <c r="F13" t="str">
        <f t="shared" si="1"/>
        <v>01000101 01101101 01110000 01100101 01111010 01100001 01101101 01101111 01110011</v>
      </c>
      <c r="H13" s="5" t="str">
        <f>+H4</f>
        <v>E</v>
      </c>
      <c r="I13" s="6"/>
      <c r="J13" s="7" t="str">
        <f>0&amp;J11&amp;J10&amp;J9&amp;J8&amp;J7&amp;J6&amp;J5</f>
        <v>01000101</v>
      </c>
      <c r="K13" s="5" t="str">
        <f>+K4</f>
        <v>m</v>
      </c>
      <c r="L13" s="6"/>
      <c r="M13" s="7" t="str">
        <f>0&amp;M11&amp;M10&amp;M9&amp;M8&amp;M7&amp;M6&amp;M5</f>
        <v>01101101</v>
      </c>
      <c r="N13" s="5" t="str">
        <f>+N4</f>
        <v>p</v>
      </c>
      <c r="O13" s="6"/>
      <c r="P13" s="7" t="str">
        <f>0&amp;P11&amp;P10&amp;P9&amp;P8&amp;P7&amp;P6&amp;P5</f>
        <v>01110000</v>
      </c>
      <c r="Q13" s="5" t="str">
        <f>+Q4</f>
        <v>e</v>
      </c>
      <c r="R13" s="6"/>
      <c r="S13" s="7" t="str">
        <f>0&amp;S11&amp;S10&amp;S9&amp;S8&amp;S7&amp;S6&amp;S5</f>
        <v>01100101</v>
      </c>
      <c r="T13" s="5" t="str">
        <f>+T4</f>
        <v>z</v>
      </c>
      <c r="U13" s="6"/>
      <c r="V13" s="7" t="str">
        <f>0&amp;V11&amp;V10&amp;V9&amp;V8&amp;V7&amp;V6&amp;V5</f>
        <v>01111010</v>
      </c>
      <c r="W13" s="5" t="str">
        <f>+W4</f>
        <v>a</v>
      </c>
      <c r="X13" s="6"/>
      <c r="Y13" s="7" t="str">
        <f>0&amp;Y11&amp;Y10&amp;Y9&amp;Y8&amp;Y7&amp;Y6&amp;Y5</f>
        <v>01100001</v>
      </c>
      <c r="Z13" s="5" t="str">
        <f>+Z4</f>
        <v>m</v>
      </c>
      <c r="AA13" s="6"/>
      <c r="AB13" s="7" t="str">
        <f>0&amp;AB11&amp;AB10&amp;AB9&amp;AB8&amp;AB7&amp;AB6&amp;AB5</f>
        <v>01101101</v>
      </c>
      <c r="AC13" s="5" t="str">
        <f>+AC4</f>
        <v>o</v>
      </c>
      <c r="AD13" s="6"/>
      <c r="AE13" s="7" t="str">
        <f>0&amp;AE11&amp;AE10&amp;AE9&amp;AE8&amp;AE7&amp;AE6&amp;AE5</f>
        <v>01101111</v>
      </c>
      <c r="AF13" s="5" t="str">
        <f>+AF4</f>
        <v>s</v>
      </c>
      <c r="AG13" s="6"/>
      <c r="AH13" s="7" t="str">
        <f>0&amp;AH11&amp;AH10&amp;AH9&amp;AH8&amp;AH7&amp;AH6&amp;AH5</f>
        <v>01110011</v>
      </c>
      <c r="AI13" s="5" t="str">
        <f>+AI4</f>
        <v xml:space="preserve"> </v>
      </c>
      <c r="AJ13" s="6"/>
      <c r="AK13" s="7" t="str">
        <f>0&amp;AK11&amp;AK10&amp;AK9&amp;AK8&amp;AK7&amp;AK6&amp;AK5</f>
        <v>00100000</v>
      </c>
      <c r="AL13" s="5" t="str">
        <f>+AL4</f>
        <v>e</v>
      </c>
      <c r="AM13" s="6"/>
      <c r="AN13" s="7" t="str">
        <f>0&amp;AN11&amp;AN10&amp;AN9&amp;AN8&amp;AN7&amp;AN6&amp;AN5</f>
        <v>01100101</v>
      </c>
      <c r="AO13" s="5" t="str">
        <f>+AO4</f>
        <v>l</v>
      </c>
      <c r="AP13" s="6"/>
      <c r="AQ13" s="7" t="str">
        <f>0&amp;AQ11&amp;AQ10&amp;AQ9&amp;AQ8&amp;AQ7&amp;AQ6&amp;AQ5</f>
        <v>01101100</v>
      </c>
      <c r="AR13" s="5" t="str">
        <f>+AR4</f>
        <v xml:space="preserve"> </v>
      </c>
      <c r="AS13" s="6"/>
      <c r="AT13" s="7" t="str">
        <f>0&amp;AT11&amp;AT10&amp;AT9&amp;AT8&amp;AT7&amp;AT6&amp;AT5</f>
        <v>00100000</v>
      </c>
      <c r="AU13" s="5" t="str">
        <f>+AU4</f>
        <v>t</v>
      </c>
      <c r="AV13" s="6"/>
      <c r="AW13" s="7" t="str">
        <f>0&amp;AW11&amp;AW10&amp;AW9&amp;AW8&amp;AW7&amp;AW6&amp;AW5</f>
        <v>01110100</v>
      </c>
      <c r="AX13" s="5" t="str">
        <f>+AX4</f>
        <v>e</v>
      </c>
      <c r="AY13" s="6"/>
      <c r="AZ13" s="7" t="str">
        <f>0&amp;AZ11&amp;AZ10&amp;AZ9&amp;AZ8&amp;AZ7&amp;AZ6&amp;AZ5</f>
        <v>01100101</v>
      </c>
      <c r="BA13" s="5" t="str">
        <f>+BA4</f>
        <v>c</v>
      </c>
      <c r="BB13" s="6"/>
      <c r="BC13" s="7" t="str">
        <f>0&amp;BC11&amp;BC10&amp;BC9&amp;BC8&amp;BC7&amp;BC6&amp;BC5</f>
        <v>01100011</v>
      </c>
      <c r="BD13" s="5" t="str">
        <f>+BD4</f>
        <v>n</v>
      </c>
      <c r="BE13" s="6"/>
      <c r="BF13" s="7" t="str">
        <f>0&amp;BF11&amp;BF10&amp;BF9&amp;BF8&amp;BF7&amp;BF6&amp;BF5</f>
        <v>01101110</v>
      </c>
      <c r="BG13" s="5" t="str">
        <f>+BG4</f>
        <v>i</v>
      </c>
      <c r="BH13" s="6"/>
      <c r="BI13" s="7" t="str">
        <f>0&amp;BI11&amp;BI10&amp;BI9&amp;BI8&amp;BI7&amp;BI6&amp;BI5</f>
        <v>01101001</v>
      </c>
      <c r="BJ13" s="5" t="str">
        <f>+BJ4</f>
        <v>c</v>
      </c>
      <c r="BK13" s="6"/>
      <c r="BL13" s="7" t="str">
        <f>0&amp;BL11&amp;BL10&amp;BL9&amp;BL8&amp;BL7&amp;BL6&amp;BL5</f>
        <v>01100011</v>
      </c>
      <c r="BM13" s="5" t="str">
        <f>+BM4</f>
        <v>o</v>
      </c>
      <c r="BN13" s="6"/>
      <c r="BO13" s="7" t="str">
        <f>0&amp;BO11&amp;BO10&amp;BO9&amp;BO8&amp;BO7&amp;BO6&amp;BO5</f>
        <v>01101111</v>
      </c>
      <c r="BP13" s="5" t="str">
        <f>+BP4</f>
        <v xml:space="preserve"> </v>
      </c>
      <c r="BQ13" s="6"/>
      <c r="BR13" s="7" t="str">
        <f>0&amp;BR11&amp;BR10&amp;BR9&amp;BR8&amp;BR7&amp;BR6&amp;BR5</f>
        <v>00100000</v>
      </c>
      <c r="BS13" s="5" t="str">
        <f>+BS4</f>
        <v>e</v>
      </c>
      <c r="BT13" s="6"/>
      <c r="BU13" s="7" t="str">
        <f>0&amp;BU11&amp;BU10&amp;BU9&amp;BU8&amp;BU7&amp;BU6&amp;BU5</f>
        <v>01100101</v>
      </c>
      <c r="BV13" s="5" t="str">
        <f>+BV4</f>
        <v>n</v>
      </c>
      <c r="BW13" s="6"/>
      <c r="BX13" s="7" t="str">
        <f>0&amp;BX11&amp;BX10&amp;BX9&amp;BX8&amp;BX7&amp;BX6&amp;BX5</f>
        <v>01101110</v>
      </c>
      <c r="BY13" s="5" t="str">
        <f>+BY4</f>
        <v xml:space="preserve"> </v>
      </c>
      <c r="BZ13" s="6"/>
      <c r="CA13" s="7" t="str">
        <f>0&amp;CA11&amp;CA10&amp;CA9&amp;CA8&amp;CA7&amp;CA6&amp;CA5</f>
        <v>00100000</v>
      </c>
      <c r="CB13" s="5" t="str">
        <f>+CB4</f>
        <v>l</v>
      </c>
      <c r="CC13" s="6"/>
      <c r="CD13" s="7" t="str">
        <f>0&amp;CD11&amp;CD10&amp;CD9&amp;CD8&amp;CD7&amp;CD6&amp;CD5</f>
        <v>01101100</v>
      </c>
      <c r="CE13" s="5" t="str">
        <f>+CE4</f>
        <v>a</v>
      </c>
      <c r="CF13" s="6"/>
      <c r="CG13" s="7" t="str">
        <f>0&amp;CG11&amp;CG10&amp;CG9&amp;CG8&amp;CG7&amp;CG6&amp;CG5</f>
        <v>01100001</v>
      </c>
      <c r="CH13" s="5" t="str">
        <f>+CH4</f>
        <v xml:space="preserve"> </v>
      </c>
      <c r="CI13" s="6"/>
      <c r="CJ13" s="7" t="str">
        <f>0&amp;CJ11&amp;CJ10&amp;CJ9&amp;CJ8&amp;CJ7&amp;CJ6&amp;CJ5</f>
        <v>00100000</v>
      </c>
      <c r="CK13" s="5" t="str">
        <f>+CK4</f>
        <v>u</v>
      </c>
      <c r="CL13" s="6"/>
      <c r="CM13" s="7" t="str">
        <f>0&amp;CM11&amp;CM10&amp;CM9&amp;CM8&amp;CM7&amp;CM6&amp;CM5</f>
        <v>01110101</v>
      </c>
      <c r="CN13" s="5" t="str">
        <f>+CN4</f>
        <v>n</v>
      </c>
      <c r="CO13" s="6"/>
      <c r="CP13" s="7" t="str">
        <f>0&amp;CP11&amp;CP10&amp;CP9&amp;CP8&amp;CP7&amp;CP6&amp;CP5</f>
        <v>01101110</v>
      </c>
      <c r="CQ13" s="5" t="str">
        <f>+CQ4</f>
        <v>i</v>
      </c>
      <c r="CR13" s="6"/>
      <c r="CS13" s="7" t="str">
        <f>0&amp;CS11&amp;CS10&amp;CS9&amp;CS8&amp;CS7&amp;CS6&amp;CS5</f>
        <v>01101001</v>
      </c>
      <c r="CT13" s="5" t="str">
        <f>+CT4</f>
        <v>v</v>
      </c>
      <c r="CU13" s="6"/>
      <c r="CV13" s="7" t="str">
        <f>0&amp;CV11&amp;CV10&amp;CV9&amp;CV8&amp;CV7&amp;CV6&amp;CV5</f>
        <v>01110110</v>
      </c>
      <c r="CW13" s="5" t="str">
        <f>+CW4</f>
        <v>e</v>
      </c>
      <c r="CX13" s="6"/>
      <c r="CY13" s="7" t="str">
        <f>0&amp;CY11&amp;CY10&amp;CY9&amp;CY8&amp;CY7&amp;CY6&amp;CY5</f>
        <v>01100101</v>
      </c>
      <c r="CZ13" s="5" t="str">
        <f>+CZ4</f>
        <v>r</v>
      </c>
      <c r="DA13" s="6"/>
      <c r="DB13" s="7" t="str">
        <f>0&amp;DB11&amp;DB10&amp;DB9&amp;DB8&amp;DB7&amp;DB6&amp;DB5</f>
        <v>01110010</v>
      </c>
      <c r="DC13" s="5" t="str">
        <f>+DC4</f>
        <v>s</v>
      </c>
      <c r="DD13" s="6"/>
      <c r="DE13" s="7" t="str">
        <f>0&amp;DE11&amp;DE10&amp;DE9&amp;DE8&amp;DE7&amp;DE6&amp;DE5</f>
        <v>01110011</v>
      </c>
      <c r="DF13" s="5" t="str">
        <f>+DF4</f>
        <v>i</v>
      </c>
      <c r="DG13" s="6"/>
      <c r="DH13" s="7" t="str">
        <f>0&amp;DH11&amp;DH10&amp;DH9&amp;DH8&amp;DH7&amp;DH6&amp;DH5</f>
        <v>01101001</v>
      </c>
      <c r="DI13" s="5" t="str">
        <f>+DI4</f>
        <v>d</v>
      </c>
      <c r="DJ13" s="6"/>
      <c r="DK13" s="7" t="str">
        <f>0&amp;DK11&amp;DK10&amp;DK9&amp;DK8&amp;DK7&amp;DK6&amp;DK5</f>
        <v>01100100</v>
      </c>
      <c r="DL13" s="5" t="str">
        <f>+DL4</f>
        <v>a</v>
      </c>
      <c r="DM13" s="6"/>
      <c r="DN13" s="7" t="str">
        <f>0&amp;DN11&amp;DN10&amp;DN9&amp;DN8&amp;DN7&amp;DN6&amp;DN5</f>
        <v>01100001</v>
      </c>
      <c r="DO13" s="5" t="str">
        <f>+DO4</f>
        <v>d</v>
      </c>
      <c r="DP13" s="6"/>
      <c r="DQ13" s="7" t="str">
        <f>0&amp;DQ11&amp;DQ10&amp;DQ9&amp;DQ8&amp;DQ7&amp;DQ6&amp;DQ5</f>
        <v>01100100</v>
      </c>
      <c r="DR13" s="5" t="str">
        <f>+DR4</f>
        <v xml:space="preserve"> </v>
      </c>
      <c r="DS13" s="6"/>
      <c r="DT13" s="7" t="str">
        <f>0&amp;DT11&amp;DT10&amp;DT9&amp;DT8&amp;DT7&amp;DT6&amp;DT5</f>
        <v>00100000</v>
      </c>
      <c r="DU13" s="5" t="str">
        <f>+DU4</f>
        <v>g</v>
      </c>
      <c r="DV13" s="6"/>
      <c r="DW13" s="7" t="str">
        <f>0&amp;DW11&amp;DW10&amp;DW9&amp;DW8&amp;DW7&amp;DW6&amp;DW5</f>
        <v>01100111</v>
      </c>
      <c r="DX13" s="5" t="str">
        <f>+DX4</f>
        <v>a</v>
      </c>
      <c r="DY13" s="6"/>
      <c r="DZ13" s="7" t="str">
        <f>0&amp;DZ11&amp;DZ10&amp;DZ9&amp;DZ8&amp;DZ7&amp;DZ6&amp;DZ5</f>
        <v>01100001</v>
      </c>
      <c r="EA13" s="5" t="str">
        <f>+EA4</f>
        <v>l</v>
      </c>
      <c r="EB13" s="6"/>
      <c r="EC13" s="7" t="str">
        <f>0&amp;EC11&amp;EC10&amp;EC9&amp;EC8&amp;EC7&amp;EC6&amp;EC5</f>
        <v>01101100</v>
      </c>
      <c r="ED13" s="5" t="str">
        <f>+ED4</f>
        <v>i</v>
      </c>
      <c r="EE13" s="6"/>
      <c r="EF13" s="7" t="str">
        <f>0&amp;EF11&amp;EF10&amp;EF9&amp;EF8&amp;EF7&amp;EF6&amp;EF5</f>
        <v>01101001</v>
      </c>
      <c r="EG13" s="5" t="str">
        <f>+EG4</f>
        <v>l</v>
      </c>
      <c r="EH13" s="6"/>
      <c r="EI13" s="7" t="str">
        <f>0&amp;EI11&amp;EI10&amp;EI9&amp;EI8&amp;EI7&amp;EI6&amp;EI5</f>
        <v>01101100</v>
      </c>
      <c r="EJ13" s="5" t="str">
        <f>+EJ4</f>
        <v>e</v>
      </c>
      <c r="EK13" s="6"/>
      <c r="EL13" s="7" t="str">
        <f>0&amp;EL11&amp;EL10&amp;EL9&amp;EL8&amp;EL7&amp;EL6&amp;EL5</f>
        <v>01100101</v>
      </c>
      <c r="EM13" s="5" t="str">
        <f>+EM4</f>
        <v>o</v>
      </c>
      <c r="EN13" s="6"/>
      <c r="EO13" s="7" t="str">
        <f>0&amp;EO11&amp;EO10&amp;EO9&amp;EO8&amp;EO7&amp;EO6&amp;EO5</f>
        <v>01101111</v>
      </c>
    </row>
    <row r="14" spans="1:145" x14ac:dyDescent="0.3">
      <c r="A14">
        <f t="shared" si="0"/>
        <v>10</v>
      </c>
      <c r="B14" t="s">
        <v>651</v>
      </c>
      <c r="C14">
        <f>+VLOOKUP(B14,Hoja2!$A:$E,5,0)</f>
        <v>32</v>
      </c>
      <c r="D14">
        <v>32</v>
      </c>
      <c r="E14" t="s">
        <v>661</v>
      </c>
      <c r="F14" t="str">
        <f t="shared" si="1"/>
        <v>01000101 01101101 01110000 01100101 01111010 01100001 01101101 01101111 01110011 00100000</v>
      </c>
      <c r="H14" s="8"/>
      <c r="I14" s="9"/>
      <c r="J14" s="10"/>
      <c r="K14" s="8"/>
      <c r="L14" s="9"/>
      <c r="M14" s="10"/>
      <c r="N14" s="8"/>
      <c r="O14" s="9"/>
      <c r="P14" s="10"/>
      <c r="Q14" s="8"/>
      <c r="R14" s="9"/>
      <c r="S14" s="10"/>
      <c r="T14" s="8"/>
      <c r="U14" s="9"/>
      <c r="V14" s="10"/>
      <c r="W14" s="8"/>
      <c r="X14" s="9"/>
      <c r="Y14" s="10"/>
      <c r="Z14" s="8"/>
      <c r="AA14" s="9"/>
      <c r="AB14" s="10"/>
      <c r="AC14" s="8"/>
      <c r="AD14" s="9"/>
      <c r="AE14" s="10"/>
      <c r="AF14" s="8"/>
      <c r="AG14" s="9"/>
      <c r="AH14" s="10"/>
      <c r="AI14" s="8"/>
      <c r="AJ14" s="9"/>
      <c r="AK14" s="10"/>
      <c r="AL14" s="8"/>
      <c r="AM14" s="9"/>
      <c r="AN14" s="10"/>
      <c r="AO14" s="8"/>
      <c r="AP14" s="9"/>
      <c r="AQ14" s="10"/>
      <c r="AR14" s="8"/>
      <c r="AS14" s="9"/>
      <c r="AT14" s="10"/>
      <c r="AU14" s="8"/>
      <c r="AV14" s="9"/>
      <c r="AW14" s="10"/>
      <c r="AX14" s="8"/>
      <c r="AY14" s="9"/>
      <c r="AZ14" s="10"/>
      <c r="BA14" s="8"/>
      <c r="BB14" s="9"/>
      <c r="BC14" s="10"/>
      <c r="BD14" s="8"/>
      <c r="BE14" s="9"/>
      <c r="BF14" s="10"/>
      <c r="BG14" s="8"/>
      <c r="BH14" s="9"/>
      <c r="BI14" s="10"/>
      <c r="BJ14" s="8"/>
      <c r="BK14" s="9"/>
      <c r="BL14" s="10"/>
      <c r="BM14" s="8"/>
      <c r="BN14" s="9"/>
      <c r="BO14" s="10"/>
      <c r="BP14" s="8"/>
      <c r="BQ14" s="9"/>
      <c r="BR14" s="10"/>
      <c r="BS14" s="8"/>
      <c r="BT14" s="9"/>
      <c r="BU14" s="10"/>
      <c r="BV14" s="8"/>
      <c r="BW14" s="9"/>
      <c r="BX14" s="10"/>
      <c r="BY14" s="8"/>
      <c r="BZ14" s="9"/>
      <c r="CA14" s="10"/>
      <c r="CB14" s="8"/>
      <c r="CC14" s="9"/>
      <c r="CD14" s="10"/>
      <c r="CE14" s="8"/>
      <c r="CF14" s="9"/>
      <c r="CG14" s="10"/>
      <c r="CH14" s="8"/>
      <c r="CI14" s="9"/>
      <c r="CJ14" s="10"/>
      <c r="CK14" s="8"/>
      <c r="CL14" s="9"/>
      <c r="CM14" s="10"/>
      <c r="CN14" s="8"/>
      <c r="CO14" s="9"/>
      <c r="CP14" s="10"/>
      <c r="CQ14" s="8"/>
      <c r="CR14" s="9"/>
      <c r="CS14" s="10"/>
      <c r="CT14" s="8"/>
      <c r="CU14" s="9"/>
      <c r="CV14" s="10"/>
      <c r="CW14" s="8"/>
      <c r="CX14" s="9"/>
      <c r="CY14" s="10"/>
      <c r="CZ14" s="8"/>
      <c r="DA14" s="9"/>
      <c r="DB14" s="10"/>
      <c r="DC14" s="8"/>
      <c r="DD14" s="9"/>
      <c r="DE14" s="10"/>
      <c r="DF14" s="8"/>
      <c r="DG14" s="9"/>
      <c r="DH14" s="10"/>
      <c r="DI14" s="8"/>
      <c r="DJ14" s="9"/>
      <c r="DK14" s="10"/>
      <c r="DL14" s="8"/>
      <c r="DM14" s="9"/>
      <c r="DN14" s="10"/>
      <c r="DO14" s="8"/>
      <c r="DP14" s="9"/>
      <c r="DQ14" s="10"/>
      <c r="DR14" s="8"/>
      <c r="DS14" s="9"/>
      <c r="DT14" s="10"/>
      <c r="DU14" s="8"/>
      <c r="DV14" s="9"/>
      <c r="DW14" s="10"/>
      <c r="DX14" s="8"/>
      <c r="DY14" s="9"/>
      <c r="DZ14" s="10"/>
      <c r="EA14" s="8"/>
      <c r="EB14" s="9"/>
      <c r="EC14" s="10"/>
      <c r="ED14" s="8"/>
      <c r="EE14" s="9"/>
      <c r="EF14" s="10"/>
      <c r="EG14" s="8"/>
      <c r="EH14" s="9"/>
      <c r="EI14" s="10"/>
      <c r="EJ14" s="8"/>
      <c r="EK14" s="9"/>
      <c r="EL14" s="10"/>
      <c r="EM14" s="8"/>
      <c r="EN14" s="9"/>
      <c r="EO14" s="10"/>
    </row>
    <row r="15" spans="1:145" x14ac:dyDescent="0.3">
      <c r="A15">
        <f t="shared" si="0"/>
        <v>11</v>
      </c>
      <c r="B15" t="s">
        <v>4</v>
      </c>
      <c r="C15">
        <f>+VLOOKUP(B15,Hoja2!$A:$E,5,0)</f>
        <v>101</v>
      </c>
      <c r="D15">
        <v>101</v>
      </c>
      <c r="E15" t="s">
        <v>673</v>
      </c>
      <c r="F15" t="str">
        <f t="shared" si="1"/>
        <v>01000101 01101101 01110000 01100101 01111010 01100001 01101101 01101111 01110011 00100000 01100101</v>
      </c>
      <c r="K15" t="s">
        <v>651</v>
      </c>
    </row>
    <row r="16" spans="1:145" x14ac:dyDescent="0.3">
      <c r="A16">
        <f t="shared" si="0"/>
        <v>12</v>
      </c>
      <c r="B16" t="s">
        <v>9</v>
      </c>
      <c r="C16">
        <f>+VLOOKUP(B16,Hoja2!$A:$E,5,0)</f>
        <v>108</v>
      </c>
      <c r="D16">
        <v>108</v>
      </c>
      <c r="E16" t="s">
        <v>662</v>
      </c>
      <c r="F16" t="str">
        <f t="shared" si="1"/>
        <v>01000101 01101101 01110000 01100101 01111010 01100001 01101101 01101111 01110011 00100000 01100101 01101100</v>
      </c>
      <c r="H16" t="s">
        <v>1</v>
      </c>
      <c r="J16" t="s">
        <v>654</v>
      </c>
      <c r="K16" t="s">
        <v>2</v>
      </c>
      <c r="M16" t="s">
        <v>655</v>
      </c>
      <c r="N16" t="s">
        <v>3</v>
      </c>
      <c r="P16" t="s">
        <v>656</v>
      </c>
      <c r="Q16" t="s">
        <v>4</v>
      </c>
      <c r="S16" t="s">
        <v>654</v>
      </c>
      <c r="T16" t="s">
        <v>5</v>
      </c>
      <c r="V16" t="s">
        <v>657</v>
      </c>
      <c r="W16" t="s">
        <v>6</v>
      </c>
      <c r="Y16" t="s">
        <v>658</v>
      </c>
      <c r="Z16" t="s">
        <v>2</v>
      </c>
      <c r="AB16" t="s">
        <v>655</v>
      </c>
      <c r="AC16" t="s">
        <v>7</v>
      </c>
      <c r="AE16" t="s">
        <v>659</v>
      </c>
      <c r="AF16" t="s">
        <v>8</v>
      </c>
      <c r="AH16" t="s">
        <v>660</v>
      </c>
      <c r="AI16" t="s">
        <v>651</v>
      </c>
      <c r="AK16" t="s">
        <v>661</v>
      </c>
      <c r="AL16" t="s">
        <v>4</v>
      </c>
      <c r="AN16" t="s">
        <v>654</v>
      </c>
      <c r="AO16" t="s">
        <v>9</v>
      </c>
      <c r="AQ16" t="s">
        <v>662</v>
      </c>
      <c r="AR16" t="s">
        <v>651</v>
      </c>
      <c r="AT16" t="s">
        <v>661</v>
      </c>
      <c r="AU16" t="s">
        <v>10</v>
      </c>
      <c r="AW16" t="s">
        <v>663</v>
      </c>
      <c r="AX16" t="s">
        <v>582</v>
      </c>
      <c r="AZ16" t="s">
        <v>664</v>
      </c>
      <c r="BA16" t="s">
        <v>11</v>
      </c>
      <c r="BC16" t="s">
        <v>665</v>
      </c>
      <c r="BD16" t="s">
        <v>12</v>
      </c>
      <c r="BF16" t="s">
        <v>666</v>
      </c>
      <c r="BG16" t="s">
        <v>13</v>
      </c>
      <c r="BI16" t="s">
        <v>667</v>
      </c>
      <c r="BJ16" t="s">
        <v>11</v>
      </c>
      <c r="BL16" t="s">
        <v>665</v>
      </c>
      <c r="BM16" t="s">
        <v>7</v>
      </c>
      <c r="BO16" t="s">
        <v>659</v>
      </c>
      <c r="BP16" t="s">
        <v>651</v>
      </c>
      <c r="BR16" t="s">
        <v>661</v>
      </c>
      <c r="BS16" t="s">
        <v>4</v>
      </c>
      <c r="BU16" t="s">
        <v>654</v>
      </c>
      <c r="BV16" t="s">
        <v>12</v>
      </c>
      <c r="BX16" t="s">
        <v>666</v>
      </c>
      <c r="BY16" t="s">
        <v>651</v>
      </c>
      <c r="CA16" t="s">
        <v>661</v>
      </c>
      <c r="CB16" t="s">
        <v>9</v>
      </c>
      <c r="CD16" t="s">
        <v>662</v>
      </c>
      <c r="CE16" t="s">
        <v>6</v>
      </c>
      <c r="CG16" t="s">
        <v>658</v>
      </c>
      <c r="CH16" t="s">
        <v>651</v>
      </c>
      <c r="CJ16" t="s">
        <v>661</v>
      </c>
      <c r="CK16" t="s">
        <v>14</v>
      </c>
      <c r="CM16" t="s">
        <v>668</v>
      </c>
      <c r="CN16" t="s">
        <v>12</v>
      </c>
      <c r="CP16" t="s">
        <v>666</v>
      </c>
      <c r="CQ16" t="s">
        <v>13</v>
      </c>
      <c r="CS16" t="s">
        <v>667</v>
      </c>
      <c r="CT16" t="s">
        <v>15</v>
      </c>
      <c r="CV16" t="s">
        <v>669</v>
      </c>
      <c r="CW16" t="s">
        <v>4</v>
      </c>
      <c r="CY16" t="s">
        <v>654</v>
      </c>
      <c r="CZ16" t="s">
        <v>16</v>
      </c>
      <c r="DB16" t="s">
        <v>670</v>
      </c>
      <c r="DC16" t="s">
        <v>8</v>
      </c>
      <c r="DE16" t="s">
        <v>660</v>
      </c>
      <c r="DF16" t="s">
        <v>13</v>
      </c>
      <c r="DH16" t="s">
        <v>667</v>
      </c>
      <c r="DI16" t="s">
        <v>17</v>
      </c>
      <c r="DK16" t="s">
        <v>671</v>
      </c>
      <c r="DL16" t="s">
        <v>6</v>
      </c>
      <c r="DN16" t="s">
        <v>658</v>
      </c>
      <c r="DO16" t="s">
        <v>17</v>
      </c>
      <c r="DQ16" t="s">
        <v>671</v>
      </c>
      <c r="DR16" t="s">
        <v>651</v>
      </c>
      <c r="DT16" t="s">
        <v>661</v>
      </c>
      <c r="DU16" t="s">
        <v>18</v>
      </c>
      <c r="DW16" t="s">
        <v>672</v>
      </c>
      <c r="DX16" t="s">
        <v>6</v>
      </c>
      <c r="DZ16" t="s">
        <v>658</v>
      </c>
      <c r="EA16" t="s">
        <v>9</v>
      </c>
      <c r="EC16" t="s">
        <v>662</v>
      </c>
      <c r="ED16" t="s">
        <v>13</v>
      </c>
      <c r="EF16" t="s">
        <v>667</v>
      </c>
      <c r="EG16" t="s">
        <v>9</v>
      </c>
      <c r="EI16" t="s">
        <v>662</v>
      </c>
      <c r="EJ16" t="s">
        <v>4</v>
      </c>
      <c r="EL16" t="s">
        <v>654</v>
      </c>
      <c r="EM16" t="s">
        <v>7</v>
      </c>
      <c r="EO16" t="s">
        <v>659</v>
      </c>
    </row>
    <row r="17" spans="1:6" x14ac:dyDescent="0.3">
      <c r="A17">
        <f t="shared" si="0"/>
        <v>13</v>
      </c>
      <c r="B17" t="s">
        <v>651</v>
      </c>
      <c r="C17">
        <f>+VLOOKUP(B17,Hoja2!$A:$E,5,0)</f>
        <v>32</v>
      </c>
      <c r="D17">
        <v>32</v>
      </c>
      <c r="E17" t="s">
        <v>661</v>
      </c>
      <c r="F17" t="str">
        <f t="shared" si="1"/>
        <v>01000101 01101101 01110000 01100101 01111010 01100001 01101101 01101111 01110011 00100000 01100101 01101100 00100000</v>
      </c>
    </row>
    <row r="18" spans="1:6" x14ac:dyDescent="0.3">
      <c r="A18">
        <f t="shared" si="0"/>
        <v>14</v>
      </c>
      <c r="B18" t="s">
        <v>10</v>
      </c>
      <c r="C18">
        <f>+VLOOKUP(B18,Hoja2!$A:$E,5,0)</f>
        <v>116</v>
      </c>
      <c r="D18">
        <v>116</v>
      </c>
      <c r="E18" t="s">
        <v>663</v>
      </c>
      <c r="F18" t="str">
        <f t="shared" si="1"/>
        <v>01000101 01101101 01110000 01100101 01111010 01100001 01101101 01101111 01110011 00100000 01100101 01101100 00100000 01110100</v>
      </c>
    </row>
    <row r="19" spans="1:6" x14ac:dyDescent="0.3">
      <c r="A19">
        <f t="shared" si="0"/>
        <v>15</v>
      </c>
      <c r="B19" t="s">
        <v>4</v>
      </c>
      <c r="C19">
        <f>+VLOOKUP(B19,Hoja2!$A:$E,5,0)</f>
        <v>101</v>
      </c>
      <c r="D19">
        <v>101</v>
      </c>
      <c r="E19" t="s">
        <v>673</v>
      </c>
      <c r="F19" t="str">
        <f t="shared" si="1"/>
        <v>01000101 01101101 01110000 01100101 01111010 01100001 01101101 01101111 01110011 00100000 01100101 01101100 00100000 01110100 01100101</v>
      </c>
    </row>
    <row r="20" spans="1:6" x14ac:dyDescent="0.3">
      <c r="A20">
        <f t="shared" si="0"/>
        <v>16</v>
      </c>
      <c r="B20" t="s">
        <v>11</v>
      </c>
      <c r="C20">
        <f>+VLOOKUP(B20,Hoja2!$A:$E,5,0)</f>
        <v>99</v>
      </c>
      <c r="D20">
        <v>99</v>
      </c>
      <c r="E20" t="s">
        <v>665</v>
      </c>
      <c r="F20" t="str">
        <f t="shared" si="1"/>
        <v>01000101 01101101 01110000 01100101 01111010 01100001 01101101 01101111 01110011 00100000 01100101 01101100 00100000 01110100 01100101 01100011</v>
      </c>
    </row>
    <row r="21" spans="1:6" x14ac:dyDescent="0.3">
      <c r="A21">
        <f t="shared" si="0"/>
        <v>17</v>
      </c>
      <c r="B21" t="s">
        <v>12</v>
      </c>
      <c r="C21">
        <f>+VLOOKUP(B21,Hoja2!$A:$E,5,0)</f>
        <v>110</v>
      </c>
      <c r="D21">
        <v>110</v>
      </c>
      <c r="E21" t="s">
        <v>666</v>
      </c>
      <c r="F21" t="str">
        <f t="shared" si="1"/>
        <v>01000101 01101101 01110000 01100101 01111010 01100001 01101101 01101111 01110011 00100000 01100101 01101100 00100000 01110100 01100101 01100011 01101110</v>
      </c>
    </row>
    <row r="22" spans="1:6" x14ac:dyDescent="0.3">
      <c r="A22">
        <f t="shared" si="0"/>
        <v>18</v>
      </c>
      <c r="B22" t="s">
        <v>13</v>
      </c>
      <c r="C22">
        <f>+VLOOKUP(B22,Hoja2!$A:$E,5,0)</f>
        <v>105</v>
      </c>
      <c r="D22">
        <v>105</v>
      </c>
      <c r="E22" t="s">
        <v>667</v>
      </c>
      <c r="F22" t="str">
        <f t="shared" si="1"/>
        <v>01000101 01101101 01110000 01100101 01111010 01100001 01101101 01101111 01110011 00100000 01100101 01101100 00100000 01110100 01100101 01100011 01101110 01101001</v>
      </c>
    </row>
    <row r="23" spans="1:6" x14ac:dyDescent="0.3">
      <c r="A23">
        <f t="shared" si="0"/>
        <v>19</v>
      </c>
      <c r="B23" t="s">
        <v>11</v>
      </c>
      <c r="C23">
        <f>+VLOOKUP(B23,Hoja2!$A:$E,5,0)</f>
        <v>99</v>
      </c>
      <c r="D23">
        <v>99</v>
      </c>
      <c r="E23" t="s">
        <v>665</v>
      </c>
      <c r="F23" t="str">
        <f t="shared" si="1"/>
        <v>01000101 01101101 01110000 01100101 01111010 01100001 01101101 01101111 01110011 00100000 01100101 01101100 00100000 01110100 01100101 01100011 01101110 01101001 01100011</v>
      </c>
    </row>
    <row r="24" spans="1:6" x14ac:dyDescent="0.3">
      <c r="A24">
        <f t="shared" si="0"/>
        <v>20</v>
      </c>
      <c r="B24" t="s">
        <v>7</v>
      </c>
      <c r="C24">
        <f>+VLOOKUP(B24,Hoja2!$A:$E,5,0)</f>
        <v>111</v>
      </c>
      <c r="D24">
        <v>111</v>
      </c>
      <c r="E24" t="s">
        <v>659</v>
      </c>
      <c r="F24" t="str">
        <f t="shared" si="1"/>
        <v>01000101 01101101 01110000 01100101 01111010 01100001 01101101 01101111 01110011 00100000 01100101 01101100 00100000 01110100 01100101 01100011 01101110 01101001 01100011 01101111</v>
      </c>
    </row>
    <row r="25" spans="1:6" x14ac:dyDescent="0.3">
      <c r="A25">
        <f t="shared" si="0"/>
        <v>21</v>
      </c>
      <c r="B25" t="s">
        <v>651</v>
      </c>
      <c r="C25">
        <f>+VLOOKUP(B25,Hoja2!$A:$E,5,0)</f>
        <v>32</v>
      </c>
      <c r="D25">
        <v>32</v>
      </c>
      <c r="E25" t="s">
        <v>661</v>
      </c>
      <c r="F25" t="str">
        <f t="shared" si="1"/>
        <v>01000101 01101101 01110000 01100101 01111010 01100001 01101101 01101111 01110011 00100000 01100101 01101100 00100000 01110100 01100101 01100011 01101110 01101001 01100011 01101111 00100000</v>
      </c>
    </row>
    <row r="26" spans="1:6" x14ac:dyDescent="0.3">
      <c r="A26">
        <f t="shared" si="0"/>
        <v>22</v>
      </c>
      <c r="B26" t="s">
        <v>4</v>
      </c>
      <c r="C26">
        <f>+VLOOKUP(B26,Hoja2!$A:$E,5,0)</f>
        <v>101</v>
      </c>
      <c r="D26">
        <v>101</v>
      </c>
      <c r="E26" t="s">
        <v>673</v>
      </c>
      <c r="F26" t="str">
        <f t="shared" si="1"/>
        <v>01000101 01101101 01110000 01100101 01111010 01100001 01101101 01101111 01110011 00100000 01100101 01101100 00100000 01110100 01100101 01100011 01101110 01101001 01100011 01101111 00100000 01100101</v>
      </c>
    </row>
    <row r="27" spans="1:6" x14ac:dyDescent="0.3">
      <c r="A27">
        <f t="shared" si="0"/>
        <v>23</v>
      </c>
      <c r="B27" t="s">
        <v>12</v>
      </c>
      <c r="C27">
        <f>+VLOOKUP(B27,Hoja2!$A:$E,5,0)</f>
        <v>110</v>
      </c>
      <c r="D27">
        <v>110</v>
      </c>
      <c r="E27" t="s">
        <v>666</v>
      </c>
      <c r="F27" t="str">
        <f t="shared" si="1"/>
        <v>01000101 01101101 01110000 01100101 01111010 01100001 01101101 01101111 01110011 00100000 01100101 01101100 00100000 01110100 01100101 01100011 01101110 01101001 01100011 01101111 00100000 01100101 01101110</v>
      </c>
    </row>
    <row r="28" spans="1:6" x14ac:dyDescent="0.3">
      <c r="A28">
        <f t="shared" si="0"/>
        <v>24</v>
      </c>
      <c r="B28" t="s">
        <v>651</v>
      </c>
      <c r="C28">
        <f>+VLOOKUP(B28,Hoja2!$A:$E,5,0)</f>
        <v>32</v>
      </c>
      <c r="D28">
        <v>32</v>
      </c>
      <c r="E28" t="s">
        <v>661</v>
      </c>
      <c r="F28" t="str">
        <f t="shared" si="1"/>
        <v>01000101 01101101 01110000 01100101 01111010 01100001 01101101 01101111 01110011 00100000 01100101 01101100 00100000 01110100 01100101 01100011 01101110 01101001 01100011 01101111 00100000 01100101 01101110 00100000</v>
      </c>
    </row>
    <row r="29" spans="1:6" x14ac:dyDescent="0.3">
      <c r="A29">
        <f t="shared" si="0"/>
        <v>25</v>
      </c>
      <c r="B29" t="s">
        <v>9</v>
      </c>
      <c r="C29">
        <f>+VLOOKUP(B29,Hoja2!$A:$E,5,0)</f>
        <v>108</v>
      </c>
      <c r="D29">
        <v>108</v>
      </c>
      <c r="E29" t="s">
        <v>662</v>
      </c>
      <c r="F29" t="str">
        <f t="shared" si="1"/>
        <v>01000101 01101101 01110000 01100101 01111010 01100001 01101101 01101111 01110011 00100000 01100101 01101100 00100000 01110100 01100101 01100011 01101110 01101001 01100011 01101111 00100000 01100101 01101110 00100000 01101100</v>
      </c>
    </row>
    <row r="30" spans="1:6" x14ac:dyDescent="0.3">
      <c r="A30">
        <f t="shared" si="0"/>
        <v>26</v>
      </c>
      <c r="B30" t="s">
        <v>6</v>
      </c>
      <c r="C30">
        <f>+VLOOKUP(B30,Hoja2!$A:$E,5,0)</f>
        <v>97</v>
      </c>
      <c r="D30">
        <v>97</v>
      </c>
      <c r="E30" t="s">
        <v>658</v>
      </c>
      <c r="F30" t="str">
        <f t="shared" si="1"/>
        <v>01000101 01101101 01110000 01100101 01111010 01100001 01101101 01101111 01110011 00100000 01100101 01101100 00100000 01110100 01100101 01100011 01101110 01101001 01100011 01101111 00100000 01100101 01101110 00100000 01101100 01100001</v>
      </c>
    </row>
    <row r="31" spans="1:6" x14ac:dyDescent="0.3">
      <c r="A31">
        <f t="shared" si="0"/>
        <v>27</v>
      </c>
      <c r="B31" t="s">
        <v>651</v>
      </c>
      <c r="C31">
        <f>+VLOOKUP(B31,Hoja2!$A:$E,5,0)</f>
        <v>32</v>
      </c>
      <c r="D31">
        <v>32</v>
      </c>
      <c r="E31" t="s">
        <v>661</v>
      </c>
      <c r="F31" t="str">
        <f t="shared" si="1"/>
        <v>01000101 01101101 01110000 01100101 01111010 01100001 01101101 01101111 01110011 00100000 01100101 01101100 00100000 01110100 01100101 01100011 01101110 01101001 01100011 01101111 00100000 01100101 01101110 00100000 01101100 01100001 00100000</v>
      </c>
    </row>
    <row r="32" spans="1:6" x14ac:dyDescent="0.3">
      <c r="A32">
        <f t="shared" si="0"/>
        <v>28</v>
      </c>
      <c r="B32" t="s">
        <v>14</v>
      </c>
      <c r="C32">
        <f>+VLOOKUP(B32,Hoja2!$A:$E,5,0)</f>
        <v>117</v>
      </c>
      <c r="D32">
        <v>117</v>
      </c>
      <c r="E32" t="s">
        <v>668</v>
      </c>
      <c r="F32" t="str">
        <f t="shared" si="1"/>
        <v>01000101 01101101 01110000 01100101 01111010 01100001 01101101 01101111 01110011 00100000 01100101 01101100 00100000 01110100 01100101 01100011 01101110 01101001 01100011 01101111 00100000 01100101 01101110 00100000 01101100 01100001 00100000 01110101</v>
      </c>
    </row>
    <row r="33" spans="1:6" x14ac:dyDescent="0.3">
      <c r="A33">
        <f t="shared" si="0"/>
        <v>29</v>
      </c>
      <c r="B33" t="s">
        <v>12</v>
      </c>
      <c r="C33">
        <f>+VLOOKUP(B33,Hoja2!$A:$E,5,0)</f>
        <v>110</v>
      </c>
      <c r="D33">
        <v>110</v>
      </c>
      <c r="E33" t="s">
        <v>666</v>
      </c>
      <c r="F33"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v>
      </c>
    </row>
    <row r="34" spans="1:6" x14ac:dyDescent="0.3">
      <c r="A34">
        <f t="shared" si="0"/>
        <v>30</v>
      </c>
      <c r="B34" t="s">
        <v>13</v>
      </c>
      <c r="C34">
        <f>+VLOOKUP(B34,Hoja2!$A:$E,5,0)</f>
        <v>105</v>
      </c>
      <c r="D34">
        <v>105</v>
      </c>
      <c r="E34" t="s">
        <v>667</v>
      </c>
      <c r="F34"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v>
      </c>
    </row>
    <row r="35" spans="1:6" x14ac:dyDescent="0.3">
      <c r="A35">
        <f t="shared" si="0"/>
        <v>31</v>
      </c>
      <c r="B35" t="s">
        <v>15</v>
      </c>
      <c r="C35">
        <f>+VLOOKUP(B35,Hoja2!$A:$E,5,0)</f>
        <v>118</v>
      </c>
      <c r="D35">
        <v>118</v>
      </c>
      <c r="E35" t="s">
        <v>669</v>
      </c>
      <c r="F35"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v>
      </c>
    </row>
    <row r="36" spans="1:6" x14ac:dyDescent="0.3">
      <c r="A36">
        <f t="shared" si="0"/>
        <v>32</v>
      </c>
      <c r="B36" t="s">
        <v>4</v>
      </c>
      <c r="C36">
        <f>+VLOOKUP(B36,Hoja2!$A:$E,5,0)</f>
        <v>101</v>
      </c>
      <c r="D36">
        <v>101</v>
      </c>
      <c r="E36" t="s">
        <v>673</v>
      </c>
      <c r="F36"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v>
      </c>
    </row>
    <row r="37" spans="1:6" x14ac:dyDescent="0.3">
      <c r="A37">
        <f t="shared" si="0"/>
        <v>33</v>
      </c>
      <c r="B37" t="s">
        <v>16</v>
      </c>
      <c r="C37">
        <f>+VLOOKUP(B37,Hoja2!$A:$E,5,0)</f>
        <v>114</v>
      </c>
      <c r="D37">
        <v>114</v>
      </c>
      <c r="E37" t="s">
        <v>670</v>
      </c>
      <c r="F37"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v>
      </c>
    </row>
    <row r="38" spans="1:6" x14ac:dyDescent="0.3">
      <c r="A38">
        <f t="shared" si="0"/>
        <v>34</v>
      </c>
      <c r="B38" t="s">
        <v>8</v>
      </c>
      <c r="C38">
        <f>+VLOOKUP(B38,Hoja2!$A:$E,5,0)</f>
        <v>115</v>
      </c>
      <c r="D38">
        <v>115</v>
      </c>
      <c r="E38" t="s">
        <v>660</v>
      </c>
      <c r="F38"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v>
      </c>
    </row>
    <row r="39" spans="1:6" x14ac:dyDescent="0.3">
      <c r="A39">
        <f t="shared" si="0"/>
        <v>35</v>
      </c>
      <c r="B39" t="s">
        <v>13</v>
      </c>
      <c r="C39">
        <f>+VLOOKUP(B39,Hoja2!$A:$E,5,0)</f>
        <v>105</v>
      </c>
      <c r="D39">
        <v>105</v>
      </c>
      <c r="E39" t="s">
        <v>667</v>
      </c>
      <c r="F39"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v>
      </c>
    </row>
    <row r="40" spans="1:6" x14ac:dyDescent="0.3">
      <c r="A40">
        <f t="shared" si="0"/>
        <v>36</v>
      </c>
      <c r="B40" t="s">
        <v>17</v>
      </c>
      <c r="C40">
        <f>+VLOOKUP(B40,Hoja2!$A:$E,5,0)</f>
        <v>100</v>
      </c>
      <c r="D40">
        <v>100</v>
      </c>
      <c r="E40" t="s">
        <v>671</v>
      </c>
      <c r="F40"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v>
      </c>
    </row>
    <row r="41" spans="1:6" x14ac:dyDescent="0.3">
      <c r="A41">
        <f t="shared" si="0"/>
        <v>37</v>
      </c>
      <c r="B41" t="s">
        <v>6</v>
      </c>
      <c r="C41">
        <f>+VLOOKUP(B41,Hoja2!$A:$E,5,0)</f>
        <v>97</v>
      </c>
      <c r="D41">
        <v>97</v>
      </c>
      <c r="E41" t="s">
        <v>658</v>
      </c>
      <c r="F41"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v>
      </c>
    </row>
    <row r="42" spans="1:6" x14ac:dyDescent="0.3">
      <c r="A42">
        <f t="shared" si="0"/>
        <v>38</v>
      </c>
      <c r="B42" t="s">
        <v>17</v>
      </c>
      <c r="C42">
        <f>+VLOOKUP(B42,Hoja2!$A:$E,5,0)</f>
        <v>100</v>
      </c>
      <c r="D42">
        <v>100</v>
      </c>
      <c r="E42" t="s">
        <v>671</v>
      </c>
      <c r="F42"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v>
      </c>
    </row>
    <row r="43" spans="1:6" x14ac:dyDescent="0.3">
      <c r="A43">
        <f t="shared" si="0"/>
        <v>39</v>
      </c>
      <c r="B43" t="s">
        <v>651</v>
      </c>
      <c r="C43">
        <f>+VLOOKUP(B43,Hoja2!$A:$E,5,0)</f>
        <v>32</v>
      </c>
      <c r="D43">
        <v>32</v>
      </c>
      <c r="E43" t="s">
        <v>661</v>
      </c>
      <c r="F43"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v>
      </c>
    </row>
    <row r="44" spans="1:6" x14ac:dyDescent="0.3">
      <c r="A44">
        <f t="shared" si="0"/>
        <v>40</v>
      </c>
      <c r="B44" t="s">
        <v>18</v>
      </c>
      <c r="C44">
        <f>+VLOOKUP(B44,Hoja2!$A:$E,5,0)</f>
        <v>103</v>
      </c>
      <c r="D44">
        <v>103</v>
      </c>
      <c r="E44" t="s">
        <v>672</v>
      </c>
      <c r="F44"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 01100111</v>
      </c>
    </row>
    <row r="45" spans="1:6" x14ac:dyDescent="0.3">
      <c r="A45">
        <f t="shared" si="0"/>
        <v>41</v>
      </c>
      <c r="B45" t="s">
        <v>6</v>
      </c>
      <c r="C45">
        <f>+VLOOKUP(B45,Hoja2!$A:$E,5,0)</f>
        <v>97</v>
      </c>
      <c r="D45">
        <v>97</v>
      </c>
      <c r="E45" t="s">
        <v>658</v>
      </c>
      <c r="F45"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 01100111 01100001</v>
      </c>
    </row>
    <row r="46" spans="1:6" x14ac:dyDescent="0.3">
      <c r="A46">
        <f t="shared" si="0"/>
        <v>42</v>
      </c>
      <c r="B46" t="s">
        <v>9</v>
      </c>
      <c r="C46">
        <f>+VLOOKUP(B46,Hoja2!$A:$E,5,0)</f>
        <v>108</v>
      </c>
      <c r="D46">
        <v>108</v>
      </c>
      <c r="E46" t="s">
        <v>662</v>
      </c>
      <c r="F46"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 01100111 01100001 01101100</v>
      </c>
    </row>
    <row r="47" spans="1:6" x14ac:dyDescent="0.3">
      <c r="A47">
        <f t="shared" si="0"/>
        <v>43</v>
      </c>
      <c r="B47" t="s">
        <v>13</v>
      </c>
      <c r="C47">
        <f>+VLOOKUP(B47,Hoja2!$A:$E,5,0)</f>
        <v>105</v>
      </c>
      <c r="D47">
        <v>105</v>
      </c>
      <c r="E47" t="s">
        <v>667</v>
      </c>
      <c r="F47"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 01100111 01100001 01101100 01101001</v>
      </c>
    </row>
    <row r="48" spans="1:6" x14ac:dyDescent="0.3">
      <c r="A48">
        <f t="shared" si="0"/>
        <v>44</v>
      </c>
      <c r="B48" t="s">
        <v>9</v>
      </c>
      <c r="C48">
        <f>+VLOOKUP(B48,Hoja2!$A:$E,5,0)</f>
        <v>108</v>
      </c>
      <c r="D48">
        <v>108</v>
      </c>
      <c r="E48" t="s">
        <v>662</v>
      </c>
      <c r="F48"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 01100111 01100001 01101100 01101001 01101100</v>
      </c>
    </row>
    <row r="49" spans="1:6" x14ac:dyDescent="0.3">
      <c r="A49">
        <f t="shared" si="0"/>
        <v>45</v>
      </c>
      <c r="B49" t="s">
        <v>4</v>
      </c>
      <c r="C49">
        <f>+VLOOKUP(B49,Hoja2!$A:$E,5,0)</f>
        <v>101</v>
      </c>
      <c r="D49">
        <v>101</v>
      </c>
      <c r="E49" t="s">
        <v>673</v>
      </c>
      <c r="F49"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 01100111 01100001 01101100 01101001 01101100 01100101</v>
      </c>
    </row>
    <row r="50" spans="1:6" x14ac:dyDescent="0.3">
      <c r="A50">
        <f t="shared" si="0"/>
        <v>46</v>
      </c>
      <c r="B50" t="s">
        <v>7</v>
      </c>
      <c r="C50">
        <f>+VLOOKUP(B50,Hoja2!$A:$E,5,0)</f>
        <v>111</v>
      </c>
      <c r="D50">
        <v>111</v>
      </c>
      <c r="E50" t="s">
        <v>659</v>
      </c>
      <c r="F50" t="str">
        <f t="shared" si="1"/>
        <v>01000101 01101101 01110000 01100101 01111010 01100001 01101101 01101111 01110011 00100000 01100101 01101100 00100000 01110100 01100101 01100011 01101110 01101001 01100011 01101111 00100000 01100101 01101110 00100000 01101100 01100001 00100000 01110101 01101110 01101001 01110110 01100101 01110010 01110011 01101001 01100100 01100001 01100100 00100000 01100111 01100001 01101100 01101001 01101100 01100101 01101111</v>
      </c>
    </row>
  </sheetData>
  <sortState xmlns:xlrd2="http://schemas.microsoft.com/office/spreadsheetml/2017/richdata2" ref="G28:H73">
    <sortCondition ref="G28:G7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16DE-A13E-473F-ADD5-789B517781F0}">
  <dimension ref="A2:AT17"/>
  <sheetViews>
    <sheetView workbookViewId="0">
      <selection activeCell="F19" sqref="F19"/>
    </sheetView>
  </sheetViews>
  <sheetFormatPr baseColWidth="10" defaultRowHeight="14.4" x14ac:dyDescent="0.3"/>
  <sheetData>
    <row r="2" spans="1:46" x14ac:dyDescent="0.3">
      <c r="B2" t="s">
        <v>0</v>
      </c>
    </row>
    <row r="3" spans="1:46" x14ac:dyDescent="0.3">
      <c r="H3">
        <v>1</v>
      </c>
      <c r="K3">
        <f>+H3+1</f>
        <v>2</v>
      </c>
      <c r="N3">
        <f>+K3+1</f>
        <v>3</v>
      </c>
      <c r="Q3">
        <f>+N3+1</f>
        <v>4</v>
      </c>
      <c r="T3">
        <f>+Q3+1</f>
        <v>5</v>
      </c>
      <c r="W3">
        <f>+T3+1</f>
        <v>6</v>
      </c>
      <c r="Z3">
        <f>+W3+1</f>
        <v>7</v>
      </c>
      <c r="AC3">
        <f>+Z3+1</f>
        <v>8</v>
      </c>
      <c r="AF3">
        <f>+AC3+1</f>
        <v>9</v>
      </c>
      <c r="AI3">
        <f>+AF3+1</f>
        <v>10</v>
      </c>
      <c r="AL3">
        <f>+AI3+1</f>
        <v>11</v>
      </c>
      <c r="AO3">
        <f>+AL3+1</f>
        <v>12</v>
      </c>
      <c r="AR3">
        <f>+AO3+1</f>
        <v>13</v>
      </c>
    </row>
    <row r="4" spans="1:46" x14ac:dyDescent="0.3">
      <c r="F4" t="s">
        <v>651</v>
      </c>
      <c r="H4" s="2" t="s">
        <v>133</v>
      </c>
      <c r="I4" s="3" t="s">
        <v>652</v>
      </c>
      <c r="J4" s="4" t="s">
        <v>653</v>
      </c>
      <c r="K4" s="2" t="str">
        <f>+VLOOKUP(K3,$A:$B,2,0)</f>
        <v>e</v>
      </c>
      <c r="L4" s="3" t="s">
        <v>652</v>
      </c>
      <c r="M4" s="4" t="s">
        <v>653</v>
      </c>
      <c r="N4" s="2" t="str">
        <f>+VLOOKUP(N3,$A:$B,2,0)</f>
        <v>s</v>
      </c>
      <c r="O4" s="3" t="s">
        <v>652</v>
      </c>
      <c r="P4" s="4" t="s">
        <v>653</v>
      </c>
      <c r="Q4" s="2" t="str">
        <f>+VLOOKUP(Q3,$A:$B,2,0)</f>
        <v>u</v>
      </c>
      <c r="R4" s="3" t="s">
        <v>652</v>
      </c>
      <c r="S4" s="4" t="s">
        <v>653</v>
      </c>
      <c r="T4" s="2" t="str">
        <f>+VLOOKUP(T3,$A:$B,2,0)</f>
        <v>s</v>
      </c>
      <c r="U4" s="3" t="s">
        <v>652</v>
      </c>
      <c r="V4" s="4" t="s">
        <v>653</v>
      </c>
      <c r="W4" s="2" t="str">
        <f>+VLOOKUP(W3,$A:$B,2,0)</f>
        <v xml:space="preserve"> </v>
      </c>
      <c r="X4" s="3" t="s">
        <v>652</v>
      </c>
      <c r="Y4" s="4" t="s">
        <v>653</v>
      </c>
      <c r="Z4" s="2" t="str">
        <f>+VLOOKUP(Z3,$A:$B,2,0)</f>
        <v>S</v>
      </c>
      <c r="AA4" s="3" t="s">
        <v>652</v>
      </c>
      <c r="AB4" s="4" t="s">
        <v>653</v>
      </c>
      <c r="AC4" s="2" t="str">
        <f>+VLOOKUP(AC3,$A:$B,2,0)</f>
        <v>a</v>
      </c>
      <c r="AD4" s="3" t="s">
        <v>652</v>
      </c>
      <c r="AE4" s="4" t="s">
        <v>653</v>
      </c>
      <c r="AF4" s="2" t="str">
        <f>+VLOOKUP(AF3,$A:$B,2,0)</f>
        <v>m</v>
      </c>
      <c r="AG4" s="3" t="s">
        <v>652</v>
      </c>
      <c r="AH4" s="4" t="s">
        <v>653</v>
      </c>
      <c r="AI4" s="2" t="str">
        <f>+VLOOKUP(AI3,$A:$B,2,0)</f>
        <v>a</v>
      </c>
      <c r="AJ4" s="3" t="s">
        <v>652</v>
      </c>
      <c r="AK4" s="4" t="s">
        <v>653</v>
      </c>
      <c r="AL4" s="2" t="s">
        <v>258</v>
      </c>
      <c r="AM4" s="3" t="s">
        <v>652</v>
      </c>
      <c r="AN4" s="4" t="s">
        <v>653</v>
      </c>
      <c r="AO4" s="2" t="str">
        <f>+VLOOKUP(AO3,$A:$B,2,0)</f>
        <v>o</v>
      </c>
      <c r="AP4" s="3" t="s">
        <v>652</v>
      </c>
      <c r="AQ4" s="4" t="s">
        <v>653</v>
      </c>
      <c r="AR4" s="2" t="str">
        <f>+VLOOKUP(AR3,$A:$B,2,0)</f>
        <v>a</v>
      </c>
      <c r="AS4" s="3" t="s">
        <v>652</v>
      </c>
      <c r="AT4" s="4" t="s">
        <v>653</v>
      </c>
    </row>
    <row r="5" spans="1:46" x14ac:dyDescent="0.3">
      <c r="A5">
        <v>1</v>
      </c>
      <c r="B5" t="s">
        <v>133</v>
      </c>
      <c r="C5">
        <f>+VLOOKUP(B5,Hoja2!$G:$K,5,0)</f>
        <v>74</v>
      </c>
      <c r="D5">
        <v>74</v>
      </c>
      <c r="E5" t="str">
        <f>+J13</f>
        <v>01001010</v>
      </c>
      <c r="F5" t="str">
        <f>+E5</f>
        <v>01001010</v>
      </c>
      <c r="H5" s="5">
        <v>74</v>
      </c>
      <c r="I5" s="6">
        <f>INT(H5/2)</f>
        <v>37</v>
      </c>
      <c r="J5" s="7">
        <f>MOD(H5,2)</f>
        <v>0</v>
      </c>
      <c r="K5" s="5">
        <f>+VLOOKUP(K4,$B:$D,3,0)</f>
        <v>101</v>
      </c>
      <c r="L5" s="6">
        <f>INT(K5/2)</f>
        <v>50</v>
      </c>
      <c r="M5" s="7">
        <f>MOD(K5,2)</f>
        <v>1</v>
      </c>
      <c r="N5" s="5">
        <f>+VLOOKUP(N4,$B:$D,3,0)</f>
        <v>115</v>
      </c>
      <c r="O5" s="6">
        <f>INT(N5/2)</f>
        <v>57</v>
      </c>
      <c r="P5" s="7">
        <f>MOD(N5,2)</f>
        <v>1</v>
      </c>
      <c r="Q5" s="5">
        <f>+VLOOKUP(Q4,$B:$D,3,0)</f>
        <v>117</v>
      </c>
      <c r="R5" s="6">
        <f>INT(Q5/2)</f>
        <v>58</v>
      </c>
      <c r="S5" s="7">
        <f>MOD(Q5,2)</f>
        <v>1</v>
      </c>
      <c r="T5" s="5">
        <f>+VLOOKUP(T4,$B:$D,3,0)</f>
        <v>115</v>
      </c>
      <c r="U5" s="6">
        <f>INT(T5/2)</f>
        <v>57</v>
      </c>
      <c r="V5" s="7">
        <f>MOD(T5,2)</f>
        <v>1</v>
      </c>
      <c r="W5" s="5">
        <f>+VLOOKUP(W4,$B:$D,3,0)</f>
        <v>32</v>
      </c>
      <c r="X5" s="6">
        <f>INT(W5/2)</f>
        <v>16</v>
      </c>
      <c r="Y5" s="7">
        <f>MOD(W5,2)</f>
        <v>0</v>
      </c>
      <c r="Z5" s="5">
        <v>83</v>
      </c>
      <c r="AA5" s="6">
        <f>INT(Z5/2)</f>
        <v>41</v>
      </c>
      <c r="AB5" s="7">
        <f>MOD(Z5,2)</f>
        <v>1</v>
      </c>
      <c r="AC5" s="5">
        <f>+VLOOKUP(AC4,$B:$D,3,0)</f>
        <v>97</v>
      </c>
      <c r="AD5" s="6">
        <f>INT(AC5/2)</f>
        <v>48</v>
      </c>
      <c r="AE5" s="7">
        <f>MOD(AC5,2)</f>
        <v>1</v>
      </c>
      <c r="AF5" s="5">
        <f>+VLOOKUP(AF4,$B:$D,3,0)</f>
        <v>109</v>
      </c>
      <c r="AG5" s="6">
        <f>INT(AF5/2)</f>
        <v>54</v>
      </c>
      <c r="AH5" s="7">
        <f>MOD(AF5,2)</f>
        <v>1</v>
      </c>
      <c r="AI5" s="5">
        <f>+VLOOKUP(AI4,$B:$D,3,0)</f>
        <v>97</v>
      </c>
      <c r="AJ5" s="6">
        <f>INT(AI5/2)</f>
        <v>48</v>
      </c>
      <c r="AK5" s="7">
        <f>MOD(AI5,2)</f>
        <v>1</v>
      </c>
      <c r="AL5" s="5">
        <f>+VLOOKUP(AL4,$B:$D,3,0)</f>
        <v>121</v>
      </c>
      <c r="AM5" s="6">
        <f>INT(AL5/2)</f>
        <v>60</v>
      </c>
      <c r="AN5" s="7">
        <f>MOD(AL5,2)</f>
        <v>1</v>
      </c>
      <c r="AO5" s="5">
        <f>+VLOOKUP(AO4,$B:$D,3,0)</f>
        <v>111</v>
      </c>
      <c r="AP5" s="6">
        <f>INT(AO5/2)</f>
        <v>55</v>
      </c>
      <c r="AQ5" s="7">
        <f>MOD(AO5,2)</f>
        <v>1</v>
      </c>
      <c r="AR5" s="5">
        <f>+VLOOKUP(AR4,$B:$D,3,0)</f>
        <v>97</v>
      </c>
      <c r="AS5" s="6">
        <f>INT(AR5/2)</f>
        <v>48</v>
      </c>
      <c r="AT5" s="7">
        <f>MOD(AR5,2)</f>
        <v>1</v>
      </c>
    </row>
    <row r="6" spans="1:46" x14ac:dyDescent="0.3">
      <c r="A6">
        <f>+A5+1</f>
        <v>2</v>
      </c>
      <c r="B6" t="s">
        <v>4</v>
      </c>
      <c r="C6">
        <f>+VLOOKUP(B6,Hoja2!$A:$E,5,0)</f>
        <v>101</v>
      </c>
      <c r="D6">
        <v>101</v>
      </c>
      <c r="E6" t="str">
        <f>+M13</f>
        <v>01100101</v>
      </c>
      <c r="F6" t="str">
        <f>+F5&amp;$F$4&amp;E6</f>
        <v>01001010 01100101</v>
      </c>
      <c r="H6" s="5">
        <f>+I5</f>
        <v>37</v>
      </c>
      <c r="I6" s="6">
        <f>INT(H6/2)</f>
        <v>18</v>
      </c>
      <c r="J6" s="7">
        <f>MOD(H6,2)</f>
        <v>1</v>
      </c>
      <c r="K6" s="5">
        <f>+L5</f>
        <v>50</v>
      </c>
      <c r="L6" s="6">
        <f>INT(K6/2)</f>
        <v>25</v>
      </c>
      <c r="M6" s="7">
        <f>MOD(K6,2)</f>
        <v>0</v>
      </c>
      <c r="N6" s="5">
        <f>+O5</f>
        <v>57</v>
      </c>
      <c r="O6" s="6">
        <f>INT(N6/2)</f>
        <v>28</v>
      </c>
      <c r="P6" s="7">
        <f>MOD(N6,2)</f>
        <v>1</v>
      </c>
      <c r="Q6" s="5">
        <f>+R5</f>
        <v>58</v>
      </c>
      <c r="R6" s="6">
        <f>INT(Q6/2)</f>
        <v>29</v>
      </c>
      <c r="S6" s="7">
        <f>MOD(Q6,2)</f>
        <v>0</v>
      </c>
      <c r="T6" s="5">
        <f>+U5</f>
        <v>57</v>
      </c>
      <c r="U6" s="6">
        <f>INT(T6/2)</f>
        <v>28</v>
      </c>
      <c r="V6" s="7">
        <f>MOD(T6,2)</f>
        <v>1</v>
      </c>
      <c r="W6" s="5">
        <f>+X5</f>
        <v>16</v>
      </c>
      <c r="X6" s="6">
        <f>INT(W6/2)</f>
        <v>8</v>
      </c>
      <c r="Y6" s="7">
        <f>MOD(W6,2)</f>
        <v>0</v>
      </c>
      <c r="Z6" s="5">
        <f>+AA5</f>
        <v>41</v>
      </c>
      <c r="AA6" s="6">
        <f>INT(Z6/2)</f>
        <v>20</v>
      </c>
      <c r="AB6" s="7">
        <f>MOD(Z6,2)</f>
        <v>1</v>
      </c>
      <c r="AC6" s="5">
        <f>+AD5</f>
        <v>48</v>
      </c>
      <c r="AD6" s="6">
        <f>INT(AC6/2)</f>
        <v>24</v>
      </c>
      <c r="AE6" s="7">
        <f>MOD(AC6,2)</f>
        <v>0</v>
      </c>
      <c r="AF6" s="5">
        <f>+AG5</f>
        <v>54</v>
      </c>
      <c r="AG6" s="6">
        <f>INT(AF6/2)</f>
        <v>27</v>
      </c>
      <c r="AH6" s="7">
        <f>MOD(AF6,2)</f>
        <v>0</v>
      </c>
      <c r="AI6" s="5">
        <f>+AJ5</f>
        <v>48</v>
      </c>
      <c r="AJ6" s="6">
        <f>INT(AI6/2)</f>
        <v>24</v>
      </c>
      <c r="AK6" s="7">
        <f>MOD(AI6,2)</f>
        <v>0</v>
      </c>
      <c r="AL6" s="5">
        <f>+AM5</f>
        <v>60</v>
      </c>
      <c r="AM6" s="6">
        <f>INT(AL6/2)</f>
        <v>30</v>
      </c>
      <c r="AN6" s="7">
        <f>MOD(AL6,2)</f>
        <v>0</v>
      </c>
      <c r="AO6" s="5">
        <f>+AP5</f>
        <v>55</v>
      </c>
      <c r="AP6" s="6">
        <f>INT(AO6/2)</f>
        <v>27</v>
      </c>
      <c r="AQ6" s="7">
        <f>MOD(AO6,2)</f>
        <v>1</v>
      </c>
      <c r="AR6" s="5">
        <f>+AS5</f>
        <v>48</v>
      </c>
      <c r="AS6" s="6">
        <f>INT(AR6/2)</f>
        <v>24</v>
      </c>
      <c r="AT6" s="7">
        <f>MOD(AR6,2)</f>
        <v>0</v>
      </c>
    </row>
    <row r="7" spans="1:46" x14ac:dyDescent="0.3">
      <c r="A7">
        <f t="shared" ref="A7:A17" si="0">+A6+1</f>
        <v>3</v>
      </c>
      <c r="B7" t="s">
        <v>8</v>
      </c>
      <c r="C7">
        <f>+VLOOKUP(B7,Hoja2!$A:$E,5,0)</f>
        <v>115</v>
      </c>
      <c r="D7">
        <v>115</v>
      </c>
      <c r="E7" t="str">
        <f>+P13</f>
        <v>01110011</v>
      </c>
      <c r="F7" t="str">
        <f t="shared" ref="F7:F17" si="1">+F6&amp;$F$4&amp;E7</f>
        <v>01001010 01100101 01110011</v>
      </c>
      <c r="H7" s="5">
        <f t="shared" ref="H7:H11" si="2">+I6</f>
        <v>18</v>
      </c>
      <c r="I7" s="6">
        <f t="shared" ref="I7:I11" si="3">INT(H7/2)</f>
        <v>9</v>
      </c>
      <c r="J7" s="7">
        <f t="shared" ref="J7:J11" si="4">MOD(H7,2)</f>
        <v>0</v>
      </c>
      <c r="K7" s="5">
        <f t="shared" ref="K7:K12" si="5">+L6</f>
        <v>25</v>
      </c>
      <c r="L7" s="6">
        <f t="shared" ref="L7:L11" si="6">INT(K7/2)</f>
        <v>12</v>
      </c>
      <c r="M7" s="7">
        <f t="shared" ref="M7:M12" si="7">MOD(K7,2)</f>
        <v>1</v>
      </c>
      <c r="N7" s="5">
        <f t="shared" ref="N7:N12" si="8">+O6</f>
        <v>28</v>
      </c>
      <c r="O7" s="6">
        <f t="shared" ref="O7:O11" si="9">INT(N7/2)</f>
        <v>14</v>
      </c>
      <c r="P7" s="7">
        <f t="shared" ref="P7:P12" si="10">MOD(N7,2)</f>
        <v>0</v>
      </c>
      <c r="Q7" s="5">
        <f t="shared" ref="Q7:Q12" si="11">+R6</f>
        <v>29</v>
      </c>
      <c r="R7" s="6">
        <f t="shared" ref="R7:R11" si="12">INT(Q7/2)</f>
        <v>14</v>
      </c>
      <c r="S7" s="7">
        <f t="shared" ref="S7:S12" si="13">MOD(Q7,2)</f>
        <v>1</v>
      </c>
      <c r="T7" s="5">
        <f t="shared" ref="T7:T12" si="14">+U6</f>
        <v>28</v>
      </c>
      <c r="U7" s="6">
        <f t="shared" ref="U7:U11" si="15">INT(T7/2)</f>
        <v>14</v>
      </c>
      <c r="V7" s="7">
        <f t="shared" ref="V7:V12" si="16">MOD(T7,2)</f>
        <v>0</v>
      </c>
      <c r="W7" s="5">
        <f t="shared" ref="W7:W12" si="17">+X6</f>
        <v>8</v>
      </c>
      <c r="X7" s="6">
        <f t="shared" ref="X7:X11" si="18">INT(W7/2)</f>
        <v>4</v>
      </c>
      <c r="Y7" s="7">
        <f t="shared" ref="Y7:Y12" si="19">MOD(W7,2)</f>
        <v>0</v>
      </c>
      <c r="Z7" s="5">
        <f t="shared" ref="Z7:Z12" si="20">+AA6</f>
        <v>20</v>
      </c>
      <c r="AA7" s="6">
        <f t="shared" ref="AA7:AA11" si="21">INT(Z7/2)</f>
        <v>10</v>
      </c>
      <c r="AB7" s="7">
        <f t="shared" ref="AB7:AB12" si="22">MOD(Z7,2)</f>
        <v>0</v>
      </c>
      <c r="AC7" s="5">
        <f t="shared" ref="AC7:AC12" si="23">+AD6</f>
        <v>24</v>
      </c>
      <c r="AD7" s="6">
        <f t="shared" ref="AD7:AD11" si="24">INT(AC7/2)</f>
        <v>12</v>
      </c>
      <c r="AE7" s="7">
        <f t="shared" ref="AE7:AE12" si="25">MOD(AC7,2)</f>
        <v>0</v>
      </c>
      <c r="AF7" s="5">
        <f t="shared" ref="AF7:AF12" si="26">+AG6</f>
        <v>27</v>
      </c>
      <c r="AG7" s="6">
        <f t="shared" ref="AG7:AG11" si="27">INT(AF7/2)</f>
        <v>13</v>
      </c>
      <c r="AH7" s="7">
        <f t="shared" ref="AH7:AH12" si="28">MOD(AF7,2)</f>
        <v>1</v>
      </c>
      <c r="AI7" s="5">
        <f t="shared" ref="AI7:AI12" si="29">+AJ6</f>
        <v>24</v>
      </c>
      <c r="AJ7" s="6">
        <f t="shared" ref="AJ7:AJ11" si="30">INT(AI7/2)</f>
        <v>12</v>
      </c>
      <c r="AK7" s="7">
        <f t="shared" ref="AK7:AK12" si="31">MOD(AI7,2)</f>
        <v>0</v>
      </c>
      <c r="AL7" s="5">
        <f t="shared" ref="AL7:AL12" si="32">+AM6</f>
        <v>30</v>
      </c>
      <c r="AM7" s="6">
        <f t="shared" ref="AM7:AM11" si="33">INT(AL7/2)</f>
        <v>15</v>
      </c>
      <c r="AN7" s="7">
        <f t="shared" ref="AN7:AN12" si="34">MOD(AL7,2)</f>
        <v>0</v>
      </c>
      <c r="AO7" s="5">
        <f t="shared" ref="AO7:AO12" si="35">+AP6</f>
        <v>27</v>
      </c>
      <c r="AP7" s="6">
        <f t="shared" ref="AP7:AP11" si="36">INT(AO7/2)</f>
        <v>13</v>
      </c>
      <c r="AQ7" s="7">
        <f t="shared" ref="AQ7:AQ12" si="37">MOD(AO7,2)</f>
        <v>1</v>
      </c>
      <c r="AR7" s="5">
        <f t="shared" ref="AR7:AR12" si="38">+AS6</f>
        <v>24</v>
      </c>
      <c r="AS7" s="6">
        <f t="shared" ref="AS7:AS11" si="39">INT(AR7/2)</f>
        <v>12</v>
      </c>
      <c r="AT7" s="7">
        <f t="shared" ref="AT7:AT12" si="40">MOD(AR7,2)</f>
        <v>0</v>
      </c>
    </row>
    <row r="8" spans="1:46" x14ac:dyDescent="0.3">
      <c r="A8">
        <f t="shared" si="0"/>
        <v>4</v>
      </c>
      <c r="B8" t="s">
        <v>14</v>
      </c>
      <c r="C8">
        <f>+VLOOKUP(B8,Hoja2!$A:$E,5,0)</f>
        <v>117</v>
      </c>
      <c r="D8">
        <v>117</v>
      </c>
      <c r="E8" t="str">
        <f>+S13</f>
        <v>01110101</v>
      </c>
      <c r="F8" t="str">
        <f t="shared" si="1"/>
        <v>01001010 01100101 01110011 01110101</v>
      </c>
      <c r="H8" s="5">
        <f t="shared" si="2"/>
        <v>9</v>
      </c>
      <c r="I8" s="6">
        <f t="shared" si="3"/>
        <v>4</v>
      </c>
      <c r="J8" s="7">
        <f t="shared" si="4"/>
        <v>1</v>
      </c>
      <c r="K8" s="5">
        <f t="shared" si="5"/>
        <v>12</v>
      </c>
      <c r="L8" s="6">
        <f t="shared" si="6"/>
        <v>6</v>
      </c>
      <c r="M8" s="7">
        <f t="shared" si="7"/>
        <v>0</v>
      </c>
      <c r="N8" s="5">
        <f t="shared" si="8"/>
        <v>14</v>
      </c>
      <c r="O8" s="6">
        <f t="shared" si="9"/>
        <v>7</v>
      </c>
      <c r="P8" s="7">
        <f t="shared" si="10"/>
        <v>0</v>
      </c>
      <c r="Q8" s="5">
        <f t="shared" si="11"/>
        <v>14</v>
      </c>
      <c r="R8" s="6">
        <f t="shared" si="12"/>
        <v>7</v>
      </c>
      <c r="S8" s="7">
        <f t="shared" si="13"/>
        <v>0</v>
      </c>
      <c r="T8" s="5">
        <f t="shared" si="14"/>
        <v>14</v>
      </c>
      <c r="U8" s="6">
        <f t="shared" si="15"/>
        <v>7</v>
      </c>
      <c r="V8" s="7">
        <f t="shared" si="16"/>
        <v>0</v>
      </c>
      <c r="W8" s="5">
        <f t="shared" si="17"/>
        <v>4</v>
      </c>
      <c r="X8" s="6">
        <f t="shared" si="18"/>
        <v>2</v>
      </c>
      <c r="Y8" s="7">
        <f t="shared" si="19"/>
        <v>0</v>
      </c>
      <c r="Z8" s="5">
        <f t="shared" si="20"/>
        <v>10</v>
      </c>
      <c r="AA8" s="6">
        <f t="shared" si="21"/>
        <v>5</v>
      </c>
      <c r="AB8" s="7">
        <f t="shared" si="22"/>
        <v>0</v>
      </c>
      <c r="AC8" s="5">
        <f t="shared" si="23"/>
        <v>12</v>
      </c>
      <c r="AD8" s="6">
        <f t="shared" si="24"/>
        <v>6</v>
      </c>
      <c r="AE8" s="7">
        <f t="shared" si="25"/>
        <v>0</v>
      </c>
      <c r="AF8" s="5">
        <f t="shared" si="26"/>
        <v>13</v>
      </c>
      <c r="AG8" s="6">
        <f t="shared" si="27"/>
        <v>6</v>
      </c>
      <c r="AH8" s="7">
        <f t="shared" si="28"/>
        <v>1</v>
      </c>
      <c r="AI8" s="5">
        <f t="shared" si="29"/>
        <v>12</v>
      </c>
      <c r="AJ8" s="6">
        <f t="shared" si="30"/>
        <v>6</v>
      </c>
      <c r="AK8" s="7">
        <f t="shared" si="31"/>
        <v>0</v>
      </c>
      <c r="AL8" s="5">
        <f t="shared" si="32"/>
        <v>15</v>
      </c>
      <c r="AM8" s="6">
        <f t="shared" si="33"/>
        <v>7</v>
      </c>
      <c r="AN8" s="7">
        <f t="shared" si="34"/>
        <v>1</v>
      </c>
      <c r="AO8" s="5">
        <f t="shared" si="35"/>
        <v>13</v>
      </c>
      <c r="AP8" s="6">
        <f t="shared" si="36"/>
        <v>6</v>
      </c>
      <c r="AQ8" s="7">
        <f t="shared" si="37"/>
        <v>1</v>
      </c>
      <c r="AR8" s="5">
        <f t="shared" si="38"/>
        <v>12</v>
      </c>
      <c r="AS8" s="6">
        <f t="shared" si="39"/>
        <v>6</v>
      </c>
      <c r="AT8" s="7">
        <f t="shared" si="40"/>
        <v>0</v>
      </c>
    </row>
    <row r="9" spans="1:46" x14ac:dyDescent="0.3">
      <c r="A9">
        <f t="shared" si="0"/>
        <v>5</v>
      </c>
      <c r="B9" t="s">
        <v>8</v>
      </c>
      <c r="C9">
        <v>115</v>
      </c>
      <c r="D9">
        <v>115</v>
      </c>
      <c r="E9" t="str">
        <f>+V13</f>
        <v>01110011</v>
      </c>
      <c r="F9" t="str">
        <f t="shared" si="1"/>
        <v>01001010 01100101 01110011 01110101 01110011</v>
      </c>
      <c r="H9" s="5">
        <f t="shared" si="2"/>
        <v>4</v>
      </c>
      <c r="I9" s="6">
        <f t="shared" si="3"/>
        <v>2</v>
      </c>
      <c r="J9" s="7">
        <f t="shared" si="4"/>
        <v>0</v>
      </c>
      <c r="K9" s="5">
        <f t="shared" si="5"/>
        <v>6</v>
      </c>
      <c r="L9" s="6">
        <f t="shared" si="6"/>
        <v>3</v>
      </c>
      <c r="M9" s="7">
        <f t="shared" si="7"/>
        <v>0</v>
      </c>
      <c r="N9" s="5">
        <f t="shared" si="8"/>
        <v>7</v>
      </c>
      <c r="O9" s="6">
        <f t="shared" si="9"/>
        <v>3</v>
      </c>
      <c r="P9" s="7">
        <f t="shared" si="10"/>
        <v>1</v>
      </c>
      <c r="Q9" s="5">
        <f t="shared" si="11"/>
        <v>7</v>
      </c>
      <c r="R9" s="6">
        <f t="shared" si="12"/>
        <v>3</v>
      </c>
      <c r="S9" s="7">
        <f t="shared" si="13"/>
        <v>1</v>
      </c>
      <c r="T9" s="5">
        <f t="shared" si="14"/>
        <v>7</v>
      </c>
      <c r="U9" s="6">
        <f t="shared" si="15"/>
        <v>3</v>
      </c>
      <c r="V9" s="7">
        <f t="shared" si="16"/>
        <v>1</v>
      </c>
      <c r="W9" s="5">
        <f t="shared" si="17"/>
        <v>2</v>
      </c>
      <c r="X9" s="6">
        <f t="shared" si="18"/>
        <v>1</v>
      </c>
      <c r="Y9" s="7">
        <f t="shared" si="19"/>
        <v>0</v>
      </c>
      <c r="Z9" s="5">
        <f t="shared" si="20"/>
        <v>5</v>
      </c>
      <c r="AA9" s="6">
        <f t="shared" si="21"/>
        <v>2</v>
      </c>
      <c r="AB9" s="7">
        <f t="shared" si="22"/>
        <v>1</v>
      </c>
      <c r="AC9" s="5">
        <f t="shared" si="23"/>
        <v>6</v>
      </c>
      <c r="AD9" s="6">
        <f t="shared" si="24"/>
        <v>3</v>
      </c>
      <c r="AE9" s="7">
        <f t="shared" si="25"/>
        <v>0</v>
      </c>
      <c r="AF9" s="5">
        <f t="shared" si="26"/>
        <v>6</v>
      </c>
      <c r="AG9" s="6">
        <f t="shared" si="27"/>
        <v>3</v>
      </c>
      <c r="AH9" s="7">
        <f t="shared" si="28"/>
        <v>0</v>
      </c>
      <c r="AI9" s="5">
        <f t="shared" si="29"/>
        <v>6</v>
      </c>
      <c r="AJ9" s="6">
        <f t="shared" si="30"/>
        <v>3</v>
      </c>
      <c r="AK9" s="7">
        <f t="shared" si="31"/>
        <v>0</v>
      </c>
      <c r="AL9" s="5">
        <f t="shared" si="32"/>
        <v>7</v>
      </c>
      <c r="AM9" s="6">
        <f t="shared" si="33"/>
        <v>3</v>
      </c>
      <c r="AN9" s="7">
        <f t="shared" si="34"/>
        <v>1</v>
      </c>
      <c r="AO9" s="5">
        <f t="shared" si="35"/>
        <v>6</v>
      </c>
      <c r="AP9" s="6">
        <f t="shared" si="36"/>
        <v>3</v>
      </c>
      <c r="AQ9" s="7">
        <f t="shared" si="37"/>
        <v>0</v>
      </c>
      <c r="AR9" s="5">
        <f t="shared" si="38"/>
        <v>6</v>
      </c>
      <c r="AS9" s="6">
        <f t="shared" si="39"/>
        <v>3</v>
      </c>
      <c r="AT9" s="7">
        <f t="shared" si="40"/>
        <v>0</v>
      </c>
    </row>
    <row r="10" spans="1:46" x14ac:dyDescent="0.3">
      <c r="A10">
        <f t="shared" si="0"/>
        <v>6</v>
      </c>
      <c r="B10" t="s">
        <v>651</v>
      </c>
      <c r="C10">
        <f>+VLOOKUP(B10,Hoja2!$A:$E,5,0)</f>
        <v>32</v>
      </c>
      <c r="D10">
        <v>32</v>
      </c>
      <c r="E10" t="str">
        <f>+Y13</f>
        <v>00100000</v>
      </c>
      <c r="F10" t="str">
        <f t="shared" si="1"/>
        <v>01001010 01100101 01110011 01110101 01110011 00100000</v>
      </c>
      <c r="H10" s="5">
        <f t="shared" si="2"/>
        <v>2</v>
      </c>
      <c r="I10" s="6">
        <f t="shared" si="3"/>
        <v>1</v>
      </c>
      <c r="J10" s="7">
        <f t="shared" si="4"/>
        <v>0</v>
      </c>
      <c r="K10" s="5">
        <f t="shared" si="5"/>
        <v>3</v>
      </c>
      <c r="L10" s="6">
        <f t="shared" si="6"/>
        <v>1</v>
      </c>
      <c r="M10" s="7">
        <f t="shared" si="7"/>
        <v>1</v>
      </c>
      <c r="N10" s="5">
        <f t="shared" si="8"/>
        <v>3</v>
      </c>
      <c r="O10" s="6">
        <f t="shared" si="9"/>
        <v>1</v>
      </c>
      <c r="P10" s="7">
        <f t="shared" si="10"/>
        <v>1</v>
      </c>
      <c r="Q10" s="5">
        <f t="shared" si="11"/>
        <v>3</v>
      </c>
      <c r="R10" s="6">
        <f t="shared" si="12"/>
        <v>1</v>
      </c>
      <c r="S10" s="7">
        <f t="shared" si="13"/>
        <v>1</v>
      </c>
      <c r="T10" s="5">
        <f t="shared" si="14"/>
        <v>3</v>
      </c>
      <c r="U10" s="6">
        <f t="shared" si="15"/>
        <v>1</v>
      </c>
      <c r="V10" s="7">
        <f t="shared" si="16"/>
        <v>1</v>
      </c>
      <c r="W10" s="5">
        <f t="shared" si="17"/>
        <v>1</v>
      </c>
      <c r="X10" s="6">
        <f t="shared" si="18"/>
        <v>0</v>
      </c>
      <c r="Y10" s="7">
        <f t="shared" si="19"/>
        <v>1</v>
      </c>
      <c r="Z10" s="5">
        <f t="shared" si="20"/>
        <v>2</v>
      </c>
      <c r="AA10" s="6">
        <f t="shared" si="21"/>
        <v>1</v>
      </c>
      <c r="AB10" s="7">
        <f t="shared" si="22"/>
        <v>0</v>
      </c>
      <c r="AC10" s="5">
        <f t="shared" si="23"/>
        <v>3</v>
      </c>
      <c r="AD10" s="6">
        <f t="shared" si="24"/>
        <v>1</v>
      </c>
      <c r="AE10" s="7">
        <f t="shared" si="25"/>
        <v>1</v>
      </c>
      <c r="AF10" s="5">
        <f t="shared" si="26"/>
        <v>3</v>
      </c>
      <c r="AG10" s="6">
        <f t="shared" si="27"/>
        <v>1</v>
      </c>
      <c r="AH10" s="7">
        <f t="shared" si="28"/>
        <v>1</v>
      </c>
      <c r="AI10" s="5">
        <f t="shared" si="29"/>
        <v>3</v>
      </c>
      <c r="AJ10" s="6">
        <f t="shared" si="30"/>
        <v>1</v>
      </c>
      <c r="AK10" s="7">
        <f t="shared" si="31"/>
        <v>1</v>
      </c>
      <c r="AL10" s="5">
        <f t="shared" si="32"/>
        <v>3</v>
      </c>
      <c r="AM10" s="6">
        <f t="shared" si="33"/>
        <v>1</v>
      </c>
      <c r="AN10" s="7">
        <f t="shared" si="34"/>
        <v>1</v>
      </c>
      <c r="AO10" s="5">
        <f t="shared" si="35"/>
        <v>3</v>
      </c>
      <c r="AP10" s="6">
        <f t="shared" si="36"/>
        <v>1</v>
      </c>
      <c r="AQ10" s="7">
        <f t="shared" si="37"/>
        <v>1</v>
      </c>
      <c r="AR10" s="5">
        <f t="shared" si="38"/>
        <v>3</v>
      </c>
      <c r="AS10" s="6">
        <f t="shared" si="39"/>
        <v>1</v>
      </c>
      <c r="AT10" s="7">
        <f t="shared" si="40"/>
        <v>1</v>
      </c>
    </row>
    <row r="11" spans="1:46" x14ac:dyDescent="0.3">
      <c r="A11">
        <f t="shared" si="0"/>
        <v>7</v>
      </c>
      <c r="B11" t="s">
        <v>160</v>
      </c>
      <c r="C11">
        <f>+VLOOKUP(B11,Hoja2!$G:$K,5,0)</f>
        <v>83</v>
      </c>
      <c r="D11">
        <v>83</v>
      </c>
      <c r="E11" t="str">
        <f>+AB13</f>
        <v>01010011</v>
      </c>
      <c r="F11" t="str">
        <f t="shared" si="1"/>
        <v>01001010 01100101 01110011 01110101 01110011 00100000 01010011</v>
      </c>
      <c r="H11" s="5">
        <f t="shared" si="2"/>
        <v>1</v>
      </c>
      <c r="I11" s="6">
        <f t="shared" si="3"/>
        <v>0</v>
      </c>
      <c r="J11" s="7">
        <f t="shared" si="4"/>
        <v>1</v>
      </c>
      <c r="K11" s="5">
        <f t="shared" si="5"/>
        <v>1</v>
      </c>
      <c r="L11" s="6">
        <f t="shared" si="6"/>
        <v>0</v>
      </c>
      <c r="M11" s="7">
        <f t="shared" si="7"/>
        <v>1</v>
      </c>
      <c r="N11" s="5">
        <f t="shared" si="8"/>
        <v>1</v>
      </c>
      <c r="O11" s="6">
        <f t="shared" si="9"/>
        <v>0</v>
      </c>
      <c r="P11" s="7">
        <f t="shared" si="10"/>
        <v>1</v>
      </c>
      <c r="Q11" s="5">
        <f t="shared" si="11"/>
        <v>1</v>
      </c>
      <c r="R11" s="6">
        <f t="shared" si="12"/>
        <v>0</v>
      </c>
      <c r="S11" s="7">
        <f t="shared" si="13"/>
        <v>1</v>
      </c>
      <c r="T11" s="5">
        <f t="shared" si="14"/>
        <v>1</v>
      </c>
      <c r="U11" s="6">
        <f t="shared" si="15"/>
        <v>0</v>
      </c>
      <c r="V11" s="7">
        <f t="shared" si="16"/>
        <v>1</v>
      </c>
      <c r="W11" s="5">
        <f t="shared" si="17"/>
        <v>0</v>
      </c>
      <c r="X11" s="6">
        <f t="shared" si="18"/>
        <v>0</v>
      </c>
      <c r="Y11" s="7">
        <f t="shared" si="19"/>
        <v>0</v>
      </c>
      <c r="Z11" s="5">
        <f t="shared" si="20"/>
        <v>1</v>
      </c>
      <c r="AA11" s="6">
        <f t="shared" si="21"/>
        <v>0</v>
      </c>
      <c r="AB11" s="7">
        <f t="shared" si="22"/>
        <v>1</v>
      </c>
      <c r="AC11" s="5">
        <f t="shared" si="23"/>
        <v>1</v>
      </c>
      <c r="AD11" s="6">
        <f t="shared" si="24"/>
        <v>0</v>
      </c>
      <c r="AE11" s="7">
        <f t="shared" si="25"/>
        <v>1</v>
      </c>
      <c r="AF11" s="5">
        <f t="shared" si="26"/>
        <v>1</v>
      </c>
      <c r="AG11" s="6">
        <f t="shared" si="27"/>
        <v>0</v>
      </c>
      <c r="AH11" s="7">
        <f t="shared" si="28"/>
        <v>1</v>
      </c>
      <c r="AI11" s="5">
        <f t="shared" si="29"/>
        <v>1</v>
      </c>
      <c r="AJ11" s="6">
        <f t="shared" si="30"/>
        <v>0</v>
      </c>
      <c r="AK11" s="7">
        <f t="shared" si="31"/>
        <v>1</v>
      </c>
      <c r="AL11" s="5">
        <f t="shared" si="32"/>
        <v>1</v>
      </c>
      <c r="AM11" s="6">
        <f t="shared" si="33"/>
        <v>0</v>
      </c>
      <c r="AN11" s="7">
        <f t="shared" si="34"/>
        <v>1</v>
      </c>
      <c r="AO11" s="5">
        <f t="shared" si="35"/>
        <v>1</v>
      </c>
      <c r="AP11" s="6">
        <f t="shared" si="36"/>
        <v>0</v>
      </c>
      <c r="AQ11" s="7">
        <f t="shared" si="37"/>
        <v>1</v>
      </c>
      <c r="AR11" s="5">
        <f t="shared" si="38"/>
        <v>1</v>
      </c>
      <c r="AS11" s="6">
        <f t="shared" si="39"/>
        <v>0</v>
      </c>
      <c r="AT11" s="7">
        <f t="shared" si="40"/>
        <v>1</v>
      </c>
    </row>
    <row r="12" spans="1:46" x14ac:dyDescent="0.3">
      <c r="A12">
        <f t="shared" si="0"/>
        <v>8</v>
      </c>
      <c r="B12" t="s">
        <v>6</v>
      </c>
      <c r="C12">
        <f>+VLOOKUP(B12,Hoja2!$A:$E,5,0)</f>
        <v>97</v>
      </c>
      <c r="D12">
        <v>97</v>
      </c>
      <c r="E12" t="str">
        <f>+AE13</f>
        <v>01100001</v>
      </c>
      <c r="F12" t="str">
        <f t="shared" si="1"/>
        <v>01001010 01100101 01110011 01110101 01110011 00100000 01010011 01100001</v>
      </c>
      <c r="H12" s="5"/>
      <c r="I12" s="6"/>
      <c r="J12" s="7"/>
      <c r="K12" s="5"/>
      <c r="L12" s="6"/>
      <c r="M12" s="7"/>
      <c r="N12" s="5"/>
      <c r="O12" s="6"/>
      <c r="P12" s="7"/>
      <c r="Q12" s="5"/>
      <c r="R12" s="6"/>
      <c r="S12" s="7"/>
      <c r="T12" s="5"/>
      <c r="U12" s="6"/>
      <c r="V12" s="7"/>
      <c r="W12" s="5"/>
      <c r="X12" s="6"/>
      <c r="Y12" s="7"/>
      <c r="Z12" s="5"/>
      <c r="AA12" s="6"/>
      <c r="AB12" s="7"/>
      <c r="AC12" s="5"/>
      <c r="AD12" s="6"/>
      <c r="AE12" s="7"/>
      <c r="AF12" s="5"/>
      <c r="AG12" s="6"/>
      <c r="AH12" s="7"/>
      <c r="AI12" s="5"/>
      <c r="AJ12" s="6"/>
      <c r="AK12" s="7"/>
      <c r="AL12" s="5"/>
      <c r="AM12" s="6"/>
      <c r="AN12" s="7"/>
      <c r="AO12" s="5"/>
      <c r="AP12" s="6"/>
      <c r="AQ12" s="7"/>
      <c r="AR12" s="5"/>
      <c r="AS12" s="6"/>
      <c r="AT12" s="7"/>
    </row>
    <row r="13" spans="1:46" x14ac:dyDescent="0.3">
      <c r="A13">
        <f t="shared" si="0"/>
        <v>9</v>
      </c>
      <c r="B13" t="s">
        <v>2</v>
      </c>
      <c r="C13">
        <f>+VLOOKUP(B13,Hoja2!$A:$E,5,0)</f>
        <v>109</v>
      </c>
      <c r="D13">
        <v>109</v>
      </c>
      <c r="E13" t="str">
        <f>+AH13</f>
        <v>01101101</v>
      </c>
      <c r="F13" t="str">
        <f t="shared" si="1"/>
        <v>01001010 01100101 01110011 01110101 01110011 00100000 01010011 01100001 01101101</v>
      </c>
      <c r="H13" s="5" t="str">
        <f>+H4</f>
        <v>J</v>
      </c>
      <c r="I13" s="6"/>
      <c r="J13" s="7" t="str">
        <f>0&amp;J11&amp;J10&amp;J9&amp;J8&amp;J7&amp;J6&amp;J5</f>
        <v>01001010</v>
      </c>
      <c r="K13" s="5" t="str">
        <f>+K4</f>
        <v>e</v>
      </c>
      <c r="L13" s="6"/>
      <c r="M13" s="7" t="str">
        <f>0&amp;M11&amp;M10&amp;M9&amp;M8&amp;M7&amp;M6&amp;M5</f>
        <v>01100101</v>
      </c>
      <c r="N13" s="5" t="str">
        <f>+N4</f>
        <v>s</v>
      </c>
      <c r="O13" s="6"/>
      <c r="P13" s="7" t="str">
        <f>0&amp;P11&amp;P10&amp;P9&amp;P8&amp;P7&amp;P6&amp;P5</f>
        <v>01110011</v>
      </c>
      <c r="Q13" s="5" t="str">
        <f>+Q4</f>
        <v>u</v>
      </c>
      <c r="R13" s="6"/>
      <c r="S13" s="7" t="str">
        <f>0&amp;S11&amp;S10&amp;S9&amp;S8&amp;S7&amp;S6&amp;S5</f>
        <v>01110101</v>
      </c>
      <c r="T13" s="5" t="str">
        <f>+T4</f>
        <v>s</v>
      </c>
      <c r="U13" s="6"/>
      <c r="V13" s="7" t="str">
        <f>0&amp;V11&amp;V10&amp;V9&amp;V8&amp;V7&amp;V6&amp;V5</f>
        <v>01110011</v>
      </c>
      <c r="W13" s="5" t="str">
        <f>+W4</f>
        <v xml:space="preserve"> </v>
      </c>
      <c r="X13" s="6"/>
      <c r="Y13" s="7" t="str">
        <f>0&amp;Y11&amp;Y10&amp;Y9&amp;Y8&amp;Y7&amp;Y6&amp;Y5</f>
        <v>00100000</v>
      </c>
      <c r="Z13" s="5" t="str">
        <f>+Z4</f>
        <v>S</v>
      </c>
      <c r="AA13" s="6"/>
      <c r="AB13" s="7" t="str">
        <f>0&amp;AB11&amp;AB10&amp;AB9&amp;AB8&amp;AB7&amp;AB6&amp;AB5</f>
        <v>01010011</v>
      </c>
      <c r="AC13" s="5" t="str">
        <f>+AC4</f>
        <v>a</v>
      </c>
      <c r="AD13" s="6"/>
      <c r="AE13" s="7" t="str">
        <f>0&amp;AE11&amp;AE10&amp;AE9&amp;AE8&amp;AE7&amp;AE6&amp;AE5</f>
        <v>01100001</v>
      </c>
      <c r="AF13" s="5" t="str">
        <f>+AF4</f>
        <v>m</v>
      </c>
      <c r="AG13" s="6"/>
      <c r="AH13" s="7" t="str">
        <f>0&amp;AH11&amp;AH10&amp;AH9&amp;AH8&amp;AH7&amp;AH6&amp;AH5</f>
        <v>01101101</v>
      </c>
      <c r="AI13" s="5" t="str">
        <f>+AI4</f>
        <v>a</v>
      </c>
      <c r="AJ13" s="6"/>
      <c r="AK13" s="7" t="str">
        <f>0&amp;AK11&amp;AK10&amp;AK9&amp;AK8&amp;AK7&amp;AK6&amp;AK5</f>
        <v>01100001</v>
      </c>
      <c r="AL13" s="5" t="str">
        <f>+AL4</f>
        <v>y</v>
      </c>
      <c r="AM13" s="6"/>
      <c r="AN13" s="7" t="str">
        <f>0&amp;AN11&amp;AN10&amp;AN9&amp;AN8&amp;AN7&amp;AN6&amp;AN5</f>
        <v>01111001</v>
      </c>
      <c r="AO13" s="5" t="str">
        <f>+AO4</f>
        <v>o</v>
      </c>
      <c r="AP13" s="6"/>
      <c r="AQ13" s="7" t="str">
        <f>0&amp;AQ11&amp;AQ10&amp;AQ9&amp;AQ8&amp;AQ7&amp;AQ6&amp;AQ5</f>
        <v>01101111</v>
      </c>
      <c r="AR13" s="5" t="str">
        <f>+AR4</f>
        <v>a</v>
      </c>
      <c r="AS13" s="6"/>
      <c r="AT13" s="7" t="str">
        <f>0&amp;AT11&amp;AT10&amp;AT9&amp;AT8&amp;AT7&amp;AT6&amp;AT5</f>
        <v>01100001</v>
      </c>
    </row>
    <row r="14" spans="1:46" x14ac:dyDescent="0.3">
      <c r="A14">
        <f t="shared" si="0"/>
        <v>10</v>
      </c>
      <c r="B14" t="s">
        <v>6</v>
      </c>
      <c r="C14">
        <f>+VLOOKUP(B14,Hoja2!$A:$E,5,0)</f>
        <v>97</v>
      </c>
      <c r="D14">
        <v>97</v>
      </c>
      <c r="E14" t="str">
        <f>+AK13</f>
        <v>01100001</v>
      </c>
      <c r="F14" t="str">
        <f t="shared" si="1"/>
        <v>01001010 01100101 01110011 01110101 01110011 00100000 01010011 01100001 01101101 01100001</v>
      </c>
      <c r="H14" s="8"/>
      <c r="I14" s="9"/>
      <c r="J14" s="10"/>
      <c r="K14" s="8"/>
      <c r="L14" s="9"/>
      <c r="M14" s="10"/>
      <c r="N14" s="8"/>
      <c r="O14" s="9"/>
      <c r="P14" s="10"/>
      <c r="Q14" s="8"/>
      <c r="R14" s="9"/>
      <c r="S14" s="10"/>
      <c r="T14" s="8"/>
      <c r="U14" s="9"/>
      <c r="V14" s="10"/>
      <c r="W14" s="8"/>
      <c r="X14" s="9"/>
      <c r="Y14" s="10"/>
      <c r="Z14" s="8"/>
      <c r="AA14" s="9"/>
      <c r="AB14" s="10"/>
      <c r="AC14" s="8"/>
      <c r="AD14" s="9"/>
      <c r="AE14" s="10"/>
      <c r="AF14" s="8"/>
      <c r="AG14" s="9"/>
      <c r="AH14" s="10"/>
      <c r="AI14" s="8"/>
      <c r="AJ14" s="9"/>
      <c r="AK14" s="10"/>
      <c r="AL14" s="8"/>
      <c r="AM14" s="9"/>
      <c r="AN14" s="10"/>
      <c r="AO14" s="8"/>
      <c r="AP14" s="9"/>
      <c r="AQ14" s="10"/>
      <c r="AR14" s="8"/>
      <c r="AS14" s="9"/>
      <c r="AT14" s="10"/>
    </row>
    <row r="15" spans="1:46" x14ac:dyDescent="0.3">
      <c r="A15">
        <f t="shared" si="0"/>
        <v>11</v>
      </c>
      <c r="B15" t="s">
        <v>258</v>
      </c>
      <c r="C15">
        <f>+VLOOKUP(B15,Hoja2!$A:$E,5,0)</f>
        <v>121</v>
      </c>
      <c r="D15">
        <v>121</v>
      </c>
      <c r="E15" t="str">
        <f>+AN13</f>
        <v>01111001</v>
      </c>
      <c r="F15" t="str">
        <f t="shared" si="1"/>
        <v>01001010 01100101 01110011 01110101 01110011 00100000 01010011 01100001 01101101 01100001 01111001</v>
      </c>
      <c r="K15" t="s">
        <v>651</v>
      </c>
    </row>
    <row r="16" spans="1:46" x14ac:dyDescent="0.3">
      <c r="A16">
        <f t="shared" si="0"/>
        <v>12</v>
      </c>
      <c r="B16" t="s">
        <v>7</v>
      </c>
      <c r="C16">
        <f>+VLOOKUP(B16,Hoja2!$A:$E,5,0)</f>
        <v>111</v>
      </c>
      <c r="D16">
        <v>111</v>
      </c>
      <c r="E16" t="str">
        <f>+AQ13</f>
        <v>01101111</v>
      </c>
      <c r="F16" t="str">
        <f t="shared" si="1"/>
        <v>01001010 01100101 01110011 01110101 01110011 00100000 01010011 01100001 01101101 01100001 01111001 01101111</v>
      </c>
    </row>
    <row r="17" spans="1:46" x14ac:dyDescent="0.3">
      <c r="A17">
        <f t="shared" si="0"/>
        <v>13</v>
      </c>
      <c r="B17" t="s">
        <v>6</v>
      </c>
      <c r="C17">
        <f>+VLOOKUP(B17,Hoja2!$A:$E,5,0)</f>
        <v>97</v>
      </c>
      <c r="D17">
        <v>97</v>
      </c>
      <c r="E17" t="str">
        <f>+AT13</f>
        <v>01100001</v>
      </c>
      <c r="F17" t="str">
        <f t="shared" si="1"/>
        <v>01001010 01100101 01110011 01110101 01110011 00100000 01010011 01100001 01101101 01100001 01111001 01101111 01100001</v>
      </c>
      <c r="H17" t="s">
        <v>133</v>
      </c>
      <c r="J17" t="s">
        <v>654</v>
      </c>
      <c r="K17" t="s">
        <v>4</v>
      </c>
      <c r="M17" t="s">
        <v>655</v>
      </c>
      <c r="N17" t="s">
        <v>8</v>
      </c>
      <c r="P17" t="s">
        <v>656</v>
      </c>
      <c r="Q17" t="s">
        <v>14</v>
      </c>
      <c r="S17" t="s">
        <v>673</v>
      </c>
      <c r="T17" t="s">
        <v>8</v>
      </c>
      <c r="V17" t="s">
        <v>656</v>
      </c>
      <c r="W17" t="s">
        <v>651</v>
      </c>
      <c r="Y17" t="s">
        <v>658</v>
      </c>
      <c r="Z17" t="s">
        <v>160</v>
      </c>
      <c r="AB17" t="s">
        <v>656</v>
      </c>
      <c r="AC17" t="s">
        <v>6</v>
      </c>
      <c r="AE17" t="s">
        <v>659</v>
      </c>
      <c r="AF17" t="s">
        <v>2</v>
      </c>
      <c r="AH17" t="s">
        <v>660</v>
      </c>
      <c r="AI17" t="s">
        <v>6</v>
      </c>
      <c r="AK17" t="s">
        <v>659</v>
      </c>
      <c r="AL17" t="s">
        <v>258</v>
      </c>
      <c r="AN17" t="s">
        <v>673</v>
      </c>
      <c r="AO17" t="s">
        <v>7</v>
      </c>
      <c r="AQ17" t="s">
        <v>662</v>
      </c>
      <c r="AR17" t="s">
        <v>6</v>
      </c>
      <c r="AT17" t="s">
        <v>659</v>
      </c>
    </row>
  </sheetData>
  <sortState xmlns:xlrd2="http://schemas.microsoft.com/office/spreadsheetml/2017/richdata2" ref="G22:H34">
    <sortCondition ref="G22:G34"/>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705B7-4551-480F-9156-E111BDEFDE7C}">
  <dimension ref="A1:K198"/>
  <sheetViews>
    <sheetView topLeftCell="A13" workbookViewId="0">
      <selection activeCell="I19" sqref="I19"/>
    </sheetView>
  </sheetViews>
  <sheetFormatPr baseColWidth="10" defaultRowHeight="14.4" x14ac:dyDescent="0.3"/>
  <sheetData>
    <row r="1" spans="1:11" ht="53.4" thickBot="1" x14ac:dyDescent="0.35">
      <c r="A1" s="1" t="s">
        <v>651</v>
      </c>
      <c r="B1" s="1" t="s">
        <v>19</v>
      </c>
      <c r="C1" s="1" t="s">
        <v>20</v>
      </c>
      <c r="E1" s="1">
        <v>32</v>
      </c>
      <c r="G1" s="1" t="s">
        <v>107</v>
      </c>
      <c r="H1" s="1" t="s">
        <v>108</v>
      </c>
      <c r="I1" s="1" t="s">
        <v>109</v>
      </c>
      <c r="K1" s="1">
        <v>65</v>
      </c>
    </row>
    <row r="2" spans="1:11" ht="66.599999999999994" thickBot="1" x14ac:dyDescent="0.35">
      <c r="A2" s="1" t="s">
        <v>21</v>
      </c>
      <c r="B2" s="1" t="s">
        <v>22</v>
      </c>
      <c r="C2" s="1" t="s">
        <v>23</v>
      </c>
      <c r="E2" s="1">
        <v>33</v>
      </c>
      <c r="G2" s="1" t="s">
        <v>110</v>
      </c>
      <c r="H2" s="1" t="s">
        <v>111</v>
      </c>
      <c r="I2" s="1" t="s">
        <v>112</v>
      </c>
      <c r="K2" s="1">
        <v>66</v>
      </c>
    </row>
    <row r="3" spans="1:11" ht="93" thickBot="1" x14ac:dyDescent="0.35">
      <c r="A3" s="1" t="s">
        <v>24</v>
      </c>
      <c r="B3" s="1" t="s">
        <v>25</v>
      </c>
      <c r="C3" s="1" t="s">
        <v>26</v>
      </c>
      <c r="E3" s="1">
        <v>34</v>
      </c>
      <c r="G3" s="1" t="s">
        <v>113</v>
      </c>
      <c r="H3" s="1" t="s">
        <v>114</v>
      </c>
      <c r="I3" s="1" t="s">
        <v>115</v>
      </c>
      <c r="K3" s="1">
        <v>67</v>
      </c>
    </row>
    <row r="4" spans="1:11" ht="53.4" thickBot="1" x14ac:dyDescent="0.35">
      <c r="A4" s="1" t="s">
        <v>27</v>
      </c>
      <c r="B4" s="1" t="s">
        <v>28</v>
      </c>
      <c r="C4" s="1" t="s">
        <v>29</v>
      </c>
      <c r="E4" s="1">
        <v>35</v>
      </c>
      <c r="G4" s="1" t="s">
        <v>116</v>
      </c>
      <c r="H4" s="1" t="s">
        <v>117</v>
      </c>
      <c r="I4" s="1" t="s">
        <v>118</v>
      </c>
      <c r="K4" s="1">
        <v>68</v>
      </c>
    </row>
    <row r="5" spans="1:11" ht="53.4" thickBot="1" x14ac:dyDescent="0.35">
      <c r="A5" s="1" t="s">
        <v>30</v>
      </c>
      <c r="B5" s="1" t="s">
        <v>31</v>
      </c>
      <c r="C5" s="1" t="s">
        <v>32</v>
      </c>
      <c r="E5" s="1">
        <v>36</v>
      </c>
      <c r="G5" s="1" t="s">
        <v>1</v>
      </c>
      <c r="H5" s="1" t="s">
        <v>119</v>
      </c>
      <c r="I5" s="1" t="s">
        <v>120</v>
      </c>
      <c r="K5" s="1">
        <v>69</v>
      </c>
    </row>
    <row r="6" spans="1:11" ht="53.4" thickBot="1" x14ac:dyDescent="0.35">
      <c r="A6" s="1" t="s">
        <v>33</v>
      </c>
      <c r="B6" s="1" t="s">
        <v>34</v>
      </c>
      <c r="C6" s="1" t="s">
        <v>35</v>
      </c>
      <c r="E6" s="1">
        <v>37</v>
      </c>
      <c r="G6" s="1" t="s">
        <v>121</v>
      </c>
      <c r="H6" s="1" t="s">
        <v>122</v>
      </c>
      <c r="I6" s="1" t="s">
        <v>123</v>
      </c>
      <c r="K6" s="1">
        <v>70</v>
      </c>
    </row>
    <row r="7" spans="1:11" ht="53.4" thickBot="1" x14ac:dyDescent="0.35">
      <c r="A7" s="1" t="s">
        <v>36</v>
      </c>
      <c r="B7" s="1" t="s">
        <v>37</v>
      </c>
      <c r="C7" s="1" t="s">
        <v>38</v>
      </c>
      <c r="E7" s="1">
        <v>38</v>
      </c>
      <c r="G7" s="1" t="s">
        <v>124</v>
      </c>
      <c r="H7" s="1" t="s">
        <v>125</v>
      </c>
      <c r="I7" s="1" t="s">
        <v>126</v>
      </c>
      <c r="K7" s="1">
        <v>71</v>
      </c>
    </row>
    <row r="8" spans="1:11" ht="53.4" thickBot="1" x14ac:dyDescent="0.35">
      <c r="A8" s="1" t="s">
        <v>39</v>
      </c>
      <c r="B8" s="1" t="s">
        <v>40</v>
      </c>
      <c r="C8" s="1" t="s">
        <v>41</v>
      </c>
      <c r="E8" s="1">
        <v>39</v>
      </c>
      <c r="G8" s="1" t="s">
        <v>127</v>
      </c>
      <c r="H8" s="1" t="s">
        <v>128</v>
      </c>
      <c r="I8" s="1" t="s">
        <v>129</v>
      </c>
      <c r="K8" s="1">
        <v>72</v>
      </c>
    </row>
    <row r="9" spans="1:11" ht="93" thickBot="1" x14ac:dyDescent="0.35">
      <c r="A9" s="1" t="s">
        <v>42</v>
      </c>
      <c r="B9" s="1" t="s">
        <v>43</v>
      </c>
      <c r="C9" s="1" t="s">
        <v>44</v>
      </c>
      <c r="E9" s="1">
        <v>40</v>
      </c>
      <c r="G9" s="1" t="s">
        <v>130</v>
      </c>
      <c r="H9" s="1" t="s">
        <v>131</v>
      </c>
      <c r="I9" s="1" t="s">
        <v>132</v>
      </c>
      <c r="K9" s="1">
        <v>73</v>
      </c>
    </row>
    <row r="10" spans="1:11" ht="93" thickBot="1" x14ac:dyDescent="0.35">
      <c r="A10" s="1" t="s">
        <v>45</v>
      </c>
      <c r="B10" s="1" t="s">
        <v>46</v>
      </c>
      <c r="C10" s="1" t="s">
        <v>47</v>
      </c>
      <c r="E10" s="1">
        <v>41</v>
      </c>
      <c r="G10" s="1" t="s">
        <v>133</v>
      </c>
      <c r="H10" s="1" t="s">
        <v>134</v>
      </c>
      <c r="I10" s="1" t="s">
        <v>135</v>
      </c>
      <c r="K10" s="1">
        <v>74</v>
      </c>
    </row>
    <row r="11" spans="1:11" ht="53.4" thickBot="1" x14ac:dyDescent="0.35">
      <c r="A11" s="1" t="s">
        <v>48</v>
      </c>
      <c r="B11" s="1" t="s">
        <v>49</v>
      </c>
      <c r="C11" s="1" t="s">
        <v>50</v>
      </c>
      <c r="E11" s="1">
        <v>42</v>
      </c>
      <c r="G11" s="1" t="s">
        <v>136</v>
      </c>
      <c r="H11" s="1" t="s">
        <v>137</v>
      </c>
      <c r="I11" s="1" t="s">
        <v>138</v>
      </c>
      <c r="K11" s="1">
        <v>75</v>
      </c>
    </row>
    <row r="12" spans="1:11" ht="53.4" thickBot="1" x14ac:dyDescent="0.35">
      <c r="A12" s="1" t="s">
        <v>51</v>
      </c>
      <c r="B12" s="1" t="s">
        <v>52</v>
      </c>
      <c r="C12" s="1" t="s">
        <v>53</v>
      </c>
      <c r="E12" s="1">
        <v>43</v>
      </c>
      <c r="G12" s="1" t="s">
        <v>139</v>
      </c>
      <c r="H12" s="1" t="s">
        <v>140</v>
      </c>
      <c r="I12" s="1" t="s">
        <v>141</v>
      </c>
      <c r="K12" s="1">
        <v>76</v>
      </c>
    </row>
    <row r="13" spans="1:11" ht="53.4" thickBot="1" x14ac:dyDescent="0.35">
      <c r="A13" s="1" t="s">
        <v>54</v>
      </c>
      <c r="B13" s="1" t="s">
        <v>55</v>
      </c>
      <c r="C13" s="1" t="s">
        <v>56</v>
      </c>
      <c r="E13" s="1">
        <v>44</v>
      </c>
      <c r="G13" s="1" t="s">
        <v>142</v>
      </c>
      <c r="H13" s="1" t="s">
        <v>143</v>
      </c>
      <c r="I13" s="1" t="s">
        <v>144</v>
      </c>
      <c r="K13" s="1">
        <v>77</v>
      </c>
    </row>
    <row r="14" spans="1:11" ht="53.4" thickBot="1" x14ac:dyDescent="0.35">
      <c r="A14" s="1" t="s">
        <v>57</v>
      </c>
      <c r="B14" s="1" t="s">
        <v>58</v>
      </c>
      <c r="C14" s="1" t="s">
        <v>59</v>
      </c>
      <c r="E14" s="1">
        <v>45</v>
      </c>
      <c r="G14" s="1" t="s">
        <v>145</v>
      </c>
      <c r="H14" s="1" t="s">
        <v>146</v>
      </c>
      <c r="I14" s="1" t="s">
        <v>147</v>
      </c>
      <c r="K14" s="1">
        <v>78</v>
      </c>
    </row>
    <row r="15" spans="1:11" ht="66.599999999999994" thickBot="1" x14ac:dyDescent="0.35">
      <c r="A15" s="1" t="s">
        <v>60</v>
      </c>
      <c r="B15" s="1" t="s">
        <v>61</v>
      </c>
      <c r="C15" s="1" t="s">
        <v>62</v>
      </c>
      <c r="E15" s="1">
        <v>46</v>
      </c>
      <c r="G15" s="1" t="s">
        <v>148</v>
      </c>
      <c r="H15" s="1" t="s">
        <v>149</v>
      </c>
      <c r="I15" s="1" t="s">
        <v>150</v>
      </c>
      <c r="K15" s="1">
        <v>79</v>
      </c>
    </row>
    <row r="16" spans="1:11" ht="53.4" thickBot="1" x14ac:dyDescent="0.35">
      <c r="A16" s="1" t="s">
        <v>63</v>
      </c>
      <c r="B16" s="1" t="s">
        <v>64</v>
      </c>
      <c r="C16" s="1" t="s">
        <v>65</v>
      </c>
      <c r="E16" s="1">
        <v>47</v>
      </c>
      <c r="G16" s="1" t="s">
        <v>151</v>
      </c>
      <c r="H16" s="1" t="s">
        <v>152</v>
      </c>
      <c r="I16" s="1" t="s">
        <v>153</v>
      </c>
      <c r="K16" s="1">
        <v>80</v>
      </c>
    </row>
    <row r="17" spans="1:11" ht="53.4" thickBot="1" x14ac:dyDescent="0.35">
      <c r="A17" s="1">
        <v>0</v>
      </c>
      <c r="B17" s="1" t="s">
        <v>66</v>
      </c>
      <c r="C17" s="1" t="s">
        <v>67</v>
      </c>
      <c r="E17" s="1">
        <v>48</v>
      </c>
      <c r="G17" s="1" t="s">
        <v>154</v>
      </c>
      <c r="H17" s="1" t="s">
        <v>155</v>
      </c>
      <c r="I17" s="1" t="s">
        <v>156</v>
      </c>
      <c r="K17" s="1">
        <v>81</v>
      </c>
    </row>
    <row r="18" spans="1:11" ht="53.4" thickBot="1" x14ac:dyDescent="0.35">
      <c r="A18" s="1">
        <v>1</v>
      </c>
      <c r="B18" s="1" t="s">
        <v>68</v>
      </c>
      <c r="C18" s="1" t="s">
        <v>69</v>
      </c>
      <c r="E18" s="1">
        <v>49</v>
      </c>
      <c r="G18" s="1" t="s">
        <v>157</v>
      </c>
      <c r="H18" s="1" t="s">
        <v>158</v>
      </c>
      <c r="I18" s="1" t="s">
        <v>159</v>
      </c>
      <c r="K18" s="1">
        <v>82</v>
      </c>
    </row>
    <row r="19" spans="1:11" ht="53.4" thickBot="1" x14ac:dyDescent="0.35">
      <c r="A19" s="1">
        <v>2</v>
      </c>
      <c r="B19" s="1" t="s">
        <v>70</v>
      </c>
      <c r="C19" s="1" t="s">
        <v>71</v>
      </c>
      <c r="E19" s="1">
        <v>50</v>
      </c>
      <c r="G19" s="1" t="s">
        <v>160</v>
      </c>
      <c r="H19" s="1" t="s">
        <v>161</v>
      </c>
      <c r="I19" s="1" t="s">
        <v>162</v>
      </c>
      <c r="K19" s="1">
        <v>83</v>
      </c>
    </row>
    <row r="20" spans="1:11" ht="53.4" thickBot="1" x14ac:dyDescent="0.35">
      <c r="A20" s="1">
        <v>3</v>
      </c>
      <c r="B20" s="1" t="s">
        <v>72</v>
      </c>
      <c r="C20" s="1" t="s">
        <v>73</v>
      </c>
      <c r="E20" s="1">
        <v>51</v>
      </c>
      <c r="G20" s="1" t="s">
        <v>163</v>
      </c>
      <c r="H20" s="1" t="s">
        <v>164</v>
      </c>
      <c r="I20" s="1" t="s">
        <v>165</v>
      </c>
      <c r="K20" s="1">
        <v>84</v>
      </c>
    </row>
    <row r="21" spans="1:11" ht="53.4" thickBot="1" x14ac:dyDescent="0.35">
      <c r="A21" s="1">
        <v>4</v>
      </c>
      <c r="B21" s="1" t="s">
        <v>74</v>
      </c>
      <c r="C21" s="1" t="s">
        <v>75</v>
      </c>
      <c r="E21" s="1">
        <v>52</v>
      </c>
      <c r="G21" s="1" t="s">
        <v>166</v>
      </c>
      <c r="H21" s="1" t="s">
        <v>167</v>
      </c>
      <c r="I21" s="1" t="s">
        <v>168</v>
      </c>
      <c r="K21" s="1">
        <v>85</v>
      </c>
    </row>
    <row r="22" spans="1:11" ht="53.4" thickBot="1" x14ac:dyDescent="0.35">
      <c r="A22" s="1">
        <v>5</v>
      </c>
      <c r="B22" s="1" t="s">
        <v>76</v>
      </c>
      <c r="C22" s="1" t="s">
        <v>77</v>
      </c>
      <c r="E22" s="1">
        <v>53</v>
      </c>
      <c r="G22" s="1" t="s">
        <v>169</v>
      </c>
      <c r="H22" s="1" t="s">
        <v>170</v>
      </c>
      <c r="I22" s="1" t="s">
        <v>171</v>
      </c>
      <c r="K22" s="1">
        <v>86</v>
      </c>
    </row>
    <row r="23" spans="1:11" ht="53.4" thickBot="1" x14ac:dyDescent="0.35">
      <c r="A23" s="1">
        <v>6</v>
      </c>
      <c r="B23" s="1" t="s">
        <v>78</v>
      </c>
      <c r="C23" s="1" t="s">
        <v>79</v>
      </c>
      <c r="E23" s="1">
        <v>54</v>
      </c>
      <c r="G23" s="1" t="s">
        <v>172</v>
      </c>
      <c r="H23" s="1" t="s">
        <v>173</v>
      </c>
      <c r="I23" s="1" t="s">
        <v>174</v>
      </c>
      <c r="K23" s="1">
        <v>87</v>
      </c>
    </row>
    <row r="24" spans="1:11" ht="53.4" thickBot="1" x14ac:dyDescent="0.35">
      <c r="A24" s="1">
        <v>7</v>
      </c>
      <c r="B24" s="1" t="s">
        <v>80</v>
      </c>
      <c r="C24" s="1" t="s">
        <v>81</v>
      </c>
      <c r="E24" s="1">
        <v>55</v>
      </c>
      <c r="G24" s="1" t="s">
        <v>175</v>
      </c>
      <c r="H24" s="1" t="s">
        <v>176</v>
      </c>
      <c r="I24" s="1" t="s">
        <v>177</v>
      </c>
      <c r="K24" s="1">
        <v>88</v>
      </c>
    </row>
    <row r="25" spans="1:11" ht="53.4" thickBot="1" x14ac:dyDescent="0.35">
      <c r="A25" s="1">
        <v>8</v>
      </c>
      <c r="B25" s="1" t="s">
        <v>82</v>
      </c>
      <c r="C25" s="1" t="s">
        <v>83</v>
      </c>
      <c r="E25" s="1">
        <v>56</v>
      </c>
      <c r="G25" s="1" t="s">
        <v>178</v>
      </c>
      <c r="H25" s="1" t="s">
        <v>179</v>
      </c>
      <c r="I25" s="1" t="s">
        <v>180</v>
      </c>
      <c r="K25" s="1">
        <v>89</v>
      </c>
    </row>
    <row r="26" spans="1:11" ht="53.4" thickBot="1" x14ac:dyDescent="0.35">
      <c r="A26" s="1">
        <v>9</v>
      </c>
      <c r="B26" s="1" t="s">
        <v>84</v>
      </c>
      <c r="C26" s="1" t="s">
        <v>85</v>
      </c>
      <c r="E26" s="1">
        <v>57</v>
      </c>
      <c r="G26" s="1" t="s">
        <v>181</v>
      </c>
      <c r="H26" s="1" t="s">
        <v>182</v>
      </c>
      <c r="I26" s="1" t="s">
        <v>183</v>
      </c>
      <c r="K26" s="1">
        <v>90</v>
      </c>
    </row>
    <row r="27" spans="1:11" ht="53.4" thickBot="1" x14ac:dyDescent="0.35">
      <c r="A27" s="1" t="s">
        <v>86</v>
      </c>
      <c r="B27" s="1" t="s">
        <v>87</v>
      </c>
      <c r="C27" s="1" t="s">
        <v>88</v>
      </c>
      <c r="E27" s="1">
        <v>58</v>
      </c>
    </row>
    <row r="28" spans="1:11" ht="53.4" thickBot="1" x14ac:dyDescent="0.35">
      <c r="A28" s="1" t="s">
        <v>89</v>
      </c>
      <c r="B28" s="1" t="s">
        <v>90</v>
      </c>
      <c r="C28" s="1" t="s">
        <v>91</v>
      </c>
      <c r="E28" s="1">
        <v>59</v>
      </c>
    </row>
    <row r="29" spans="1:11" ht="93" thickBot="1" x14ac:dyDescent="0.35">
      <c r="A29" s="1" t="s">
        <v>92</v>
      </c>
      <c r="B29" s="1" t="s">
        <v>93</v>
      </c>
      <c r="C29" s="1" t="s">
        <v>94</v>
      </c>
      <c r="E29" s="1">
        <v>60</v>
      </c>
    </row>
    <row r="30" spans="1:11" ht="53.4" thickBot="1" x14ac:dyDescent="0.35">
      <c r="A30" s="1" t="s">
        <v>95</v>
      </c>
      <c r="B30" s="1" t="s">
        <v>96</v>
      </c>
      <c r="C30" s="1" t="s">
        <v>97</v>
      </c>
      <c r="E30" s="1">
        <v>61</v>
      </c>
    </row>
    <row r="31" spans="1:11" ht="106.2" thickBot="1" x14ac:dyDescent="0.35">
      <c r="A31" s="1" t="s">
        <v>98</v>
      </c>
      <c r="B31" s="1" t="s">
        <v>99</v>
      </c>
      <c r="C31" s="1" t="s">
        <v>100</v>
      </c>
      <c r="E31" s="1">
        <v>62</v>
      </c>
    </row>
    <row r="32" spans="1:11" ht="53.4" thickBot="1" x14ac:dyDescent="0.35">
      <c r="A32" s="1" t="s">
        <v>101</v>
      </c>
      <c r="B32" s="1" t="s">
        <v>102</v>
      </c>
      <c r="C32" s="1" t="s">
        <v>103</v>
      </c>
      <c r="E32" s="1">
        <v>63</v>
      </c>
    </row>
    <row r="33" spans="1:5" ht="53.4" thickBot="1" x14ac:dyDescent="0.35">
      <c r="A33" s="1" t="s">
        <v>104</v>
      </c>
      <c r="B33" s="1" t="s">
        <v>105</v>
      </c>
      <c r="C33" s="1" t="s">
        <v>106</v>
      </c>
      <c r="E33" s="1">
        <v>64</v>
      </c>
    </row>
    <row r="35" spans="1:5" ht="66.599999999999994" thickBot="1" x14ac:dyDescent="0.35">
      <c r="A35" s="1" t="s">
        <v>184</v>
      </c>
      <c r="B35" s="1" t="s">
        <v>185</v>
      </c>
      <c r="C35" s="1" t="s">
        <v>186</v>
      </c>
      <c r="E35" s="1">
        <v>91</v>
      </c>
    </row>
    <row r="36" spans="1:5" ht="53.4" thickBot="1" x14ac:dyDescent="0.35">
      <c r="A36" s="1" t="s">
        <v>187</v>
      </c>
      <c r="B36" s="1" t="s">
        <v>188</v>
      </c>
      <c r="C36" s="1" t="s">
        <v>189</v>
      </c>
      <c r="E36" s="1">
        <v>92</v>
      </c>
    </row>
    <row r="37" spans="1:5" ht="66.599999999999994" thickBot="1" x14ac:dyDescent="0.35">
      <c r="A37" s="1" t="s">
        <v>190</v>
      </c>
      <c r="B37" s="1" t="s">
        <v>191</v>
      </c>
      <c r="C37" s="1" t="s">
        <v>192</v>
      </c>
      <c r="E37" s="1">
        <v>93</v>
      </c>
    </row>
    <row r="38" spans="1:5" ht="66.599999999999994" thickBot="1" x14ac:dyDescent="0.35">
      <c r="A38" s="1" t="s">
        <v>193</v>
      </c>
      <c r="B38" s="1" t="s">
        <v>194</v>
      </c>
      <c r="C38" s="1" t="s">
        <v>195</v>
      </c>
      <c r="E38" s="1">
        <v>94</v>
      </c>
    </row>
    <row r="39" spans="1:5" ht="53.4" thickBot="1" x14ac:dyDescent="0.35">
      <c r="A39" s="1" t="s">
        <v>196</v>
      </c>
      <c r="B39" s="1" t="s">
        <v>197</v>
      </c>
      <c r="C39" s="1" t="s">
        <v>198</v>
      </c>
      <c r="E39" s="1">
        <v>95</v>
      </c>
    </row>
    <row r="40" spans="1:5" ht="66.599999999999994" thickBot="1" x14ac:dyDescent="0.35">
      <c r="A40" s="1" t="s">
        <v>199</v>
      </c>
      <c r="B40" s="1" t="s">
        <v>200</v>
      </c>
      <c r="C40" s="1" t="s">
        <v>201</v>
      </c>
      <c r="E40" s="1">
        <v>96</v>
      </c>
    </row>
    <row r="41" spans="1:5" ht="53.4" thickBot="1" x14ac:dyDescent="0.35">
      <c r="A41" s="1" t="s">
        <v>6</v>
      </c>
      <c r="B41" s="1" t="s">
        <v>202</v>
      </c>
      <c r="C41" s="1" t="s">
        <v>203</v>
      </c>
      <c r="E41" s="1">
        <v>97</v>
      </c>
    </row>
    <row r="42" spans="1:5" ht="53.4" thickBot="1" x14ac:dyDescent="0.35">
      <c r="A42" s="1" t="s">
        <v>204</v>
      </c>
      <c r="B42" s="1" t="s">
        <v>205</v>
      </c>
      <c r="C42" s="1" t="s">
        <v>206</v>
      </c>
      <c r="E42" s="1">
        <v>98</v>
      </c>
    </row>
    <row r="43" spans="1:5" ht="53.4" thickBot="1" x14ac:dyDescent="0.35">
      <c r="A43" s="1" t="s">
        <v>11</v>
      </c>
      <c r="B43" s="1" t="s">
        <v>207</v>
      </c>
      <c r="C43" s="1" t="s">
        <v>208</v>
      </c>
      <c r="E43" s="1">
        <v>99</v>
      </c>
    </row>
    <row r="44" spans="1:5" ht="53.4" thickBot="1" x14ac:dyDescent="0.35">
      <c r="A44" s="1" t="s">
        <v>17</v>
      </c>
      <c r="B44" s="1" t="s">
        <v>209</v>
      </c>
      <c r="C44" s="1" t="s">
        <v>210</v>
      </c>
      <c r="E44" s="1">
        <v>100</v>
      </c>
    </row>
    <row r="45" spans="1:5" ht="53.4" thickBot="1" x14ac:dyDescent="0.35">
      <c r="A45" s="1" t="s">
        <v>4</v>
      </c>
      <c r="B45" s="1" t="s">
        <v>211</v>
      </c>
      <c r="C45" s="1" t="s">
        <v>212</v>
      </c>
      <c r="E45" s="1">
        <v>101</v>
      </c>
    </row>
    <row r="46" spans="1:5" ht="53.4" thickBot="1" x14ac:dyDescent="0.35">
      <c r="A46" s="1" t="s">
        <v>213</v>
      </c>
      <c r="B46" s="1" t="s">
        <v>214</v>
      </c>
      <c r="C46" s="1" t="s">
        <v>215</v>
      </c>
      <c r="E46" s="1">
        <v>102</v>
      </c>
    </row>
    <row r="47" spans="1:5" ht="53.4" thickBot="1" x14ac:dyDescent="0.35">
      <c r="A47" s="1" t="s">
        <v>18</v>
      </c>
      <c r="B47" s="1" t="s">
        <v>216</v>
      </c>
      <c r="C47" s="1" t="s">
        <v>217</v>
      </c>
      <c r="E47" s="1">
        <v>103</v>
      </c>
    </row>
    <row r="48" spans="1:5" ht="53.4" thickBot="1" x14ac:dyDescent="0.35">
      <c r="A48" s="1" t="s">
        <v>218</v>
      </c>
      <c r="B48" s="1" t="s">
        <v>219</v>
      </c>
      <c r="C48" s="1" t="s">
        <v>220</v>
      </c>
      <c r="E48" s="1">
        <v>104</v>
      </c>
    </row>
    <row r="49" spans="1:5" ht="53.4" thickBot="1" x14ac:dyDescent="0.35">
      <c r="A49" s="1" t="s">
        <v>13</v>
      </c>
      <c r="B49" s="1" t="s">
        <v>221</v>
      </c>
      <c r="C49" s="1" t="s">
        <v>222</v>
      </c>
      <c r="E49" s="1">
        <v>105</v>
      </c>
    </row>
    <row r="50" spans="1:5" ht="53.4" thickBot="1" x14ac:dyDescent="0.35">
      <c r="A50" s="1" t="s">
        <v>223</v>
      </c>
      <c r="B50" s="1" t="s">
        <v>224</v>
      </c>
      <c r="C50" s="1" t="s">
        <v>225</v>
      </c>
      <c r="E50" s="1">
        <v>106</v>
      </c>
    </row>
    <row r="51" spans="1:5" ht="53.4" thickBot="1" x14ac:dyDescent="0.35">
      <c r="A51" s="1" t="s">
        <v>226</v>
      </c>
      <c r="B51" s="1" t="s">
        <v>227</v>
      </c>
      <c r="C51" s="1" t="s">
        <v>228</v>
      </c>
      <c r="E51" s="1">
        <v>107</v>
      </c>
    </row>
    <row r="52" spans="1:5" ht="53.4" thickBot="1" x14ac:dyDescent="0.35">
      <c r="A52" s="1" t="s">
        <v>9</v>
      </c>
      <c r="B52" s="1" t="s">
        <v>229</v>
      </c>
      <c r="C52" s="1" t="s">
        <v>230</v>
      </c>
      <c r="E52" s="1">
        <v>108</v>
      </c>
    </row>
    <row r="53" spans="1:5" ht="53.4" thickBot="1" x14ac:dyDescent="0.35">
      <c r="A53" s="1" t="s">
        <v>2</v>
      </c>
      <c r="B53" s="1" t="s">
        <v>231</v>
      </c>
      <c r="C53" s="1" t="s">
        <v>232</v>
      </c>
      <c r="E53" s="1">
        <v>109</v>
      </c>
    </row>
    <row r="54" spans="1:5" ht="53.4" thickBot="1" x14ac:dyDescent="0.35">
      <c r="A54" s="1" t="s">
        <v>12</v>
      </c>
      <c r="B54" s="1" t="s">
        <v>233</v>
      </c>
      <c r="C54" s="1" t="s">
        <v>234</v>
      </c>
      <c r="E54" s="1">
        <v>110</v>
      </c>
    </row>
    <row r="55" spans="1:5" ht="53.4" thickBot="1" x14ac:dyDescent="0.35">
      <c r="A55" s="1" t="s">
        <v>7</v>
      </c>
      <c r="B55" s="1" t="s">
        <v>235</v>
      </c>
      <c r="C55" s="1" t="s">
        <v>236</v>
      </c>
      <c r="E55" s="1">
        <v>111</v>
      </c>
    </row>
    <row r="56" spans="1:5" ht="53.4" thickBot="1" x14ac:dyDescent="0.35">
      <c r="A56" s="1" t="s">
        <v>3</v>
      </c>
      <c r="B56" s="1" t="s">
        <v>237</v>
      </c>
      <c r="C56" s="1" t="s">
        <v>238</v>
      </c>
      <c r="E56" s="1">
        <v>112</v>
      </c>
    </row>
    <row r="57" spans="1:5" ht="53.4" thickBot="1" x14ac:dyDescent="0.35">
      <c r="A57" s="1" t="s">
        <v>239</v>
      </c>
      <c r="B57" s="1" t="s">
        <v>240</v>
      </c>
      <c r="C57" s="1" t="s">
        <v>241</v>
      </c>
      <c r="E57" s="1">
        <v>113</v>
      </c>
    </row>
    <row r="58" spans="1:5" ht="53.4" thickBot="1" x14ac:dyDescent="0.35">
      <c r="A58" s="1" t="s">
        <v>16</v>
      </c>
      <c r="B58" s="1" t="s">
        <v>242</v>
      </c>
      <c r="C58" s="1" t="s">
        <v>243</v>
      </c>
      <c r="E58" s="1">
        <v>114</v>
      </c>
    </row>
    <row r="59" spans="1:5" ht="53.4" thickBot="1" x14ac:dyDescent="0.35">
      <c r="A59" s="1" t="s">
        <v>8</v>
      </c>
      <c r="B59" s="1" t="s">
        <v>244</v>
      </c>
      <c r="C59" s="1" t="s">
        <v>245</v>
      </c>
      <c r="E59" s="1">
        <v>115</v>
      </c>
    </row>
    <row r="60" spans="1:5" ht="53.4" thickBot="1" x14ac:dyDescent="0.35">
      <c r="A60" s="1" t="s">
        <v>10</v>
      </c>
      <c r="B60" s="1" t="s">
        <v>246</v>
      </c>
      <c r="C60" s="1" t="s">
        <v>247</v>
      </c>
      <c r="E60" s="1">
        <v>116</v>
      </c>
    </row>
    <row r="61" spans="1:5" ht="53.4" thickBot="1" x14ac:dyDescent="0.35">
      <c r="A61" s="1" t="s">
        <v>14</v>
      </c>
      <c r="B61" s="1" t="s">
        <v>248</v>
      </c>
      <c r="C61" s="1" t="s">
        <v>249</v>
      </c>
      <c r="E61" s="1">
        <v>117</v>
      </c>
    </row>
    <row r="62" spans="1:5" ht="53.4" thickBot="1" x14ac:dyDescent="0.35">
      <c r="A62" s="1" t="s">
        <v>15</v>
      </c>
      <c r="B62" s="1" t="s">
        <v>250</v>
      </c>
      <c r="C62" s="1" t="s">
        <v>251</v>
      </c>
      <c r="E62" s="1">
        <v>118</v>
      </c>
    </row>
    <row r="63" spans="1:5" ht="53.4" thickBot="1" x14ac:dyDescent="0.35">
      <c r="A63" s="1" t="s">
        <v>252</v>
      </c>
      <c r="B63" s="1" t="s">
        <v>253</v>
      </c>
      <c r="C63" s="1" t="s">
        <v>254</v>
      </c>
      <c r="E63" s="1">
        <v>119</v>
      </c>
    </row>
    <row r="64" spans="1:5" ht="53.4" thickBot="1" x14ac:dyDescent="0.35">
      <c r="A64" s="1" t="s">
        <v>255</v>
      </c>
      <c r="B64" s="1" t="s">
        <v>256</v>
      </c>
      <c r="C64" s="1" t="s">
        <v>257</v>
      </c>
      <c r="E64" s="1">
        <v>120</v>
      </c>
    </row>
    <row r="65" spans="1:5" ht="53.4" thickBot="1" x14ac:dyDescent="0.35">
      <c r="A65" s="1" t="s">
        <v>258</v>
      </c>
      <c r="B65" s="1" t="s">
        <v>259</v>
      </c>
      <c r="C65" s="1" t="s">
        <v>260</v>
      </c>
      <c r="E65" s="1">
        <v>121</v>
      </c>
    </row>
    <row r="66" spans="1:5" ht="53.4" thickBot="1" x14ac:dyDescent="0.35">
      <c r="A66" s="1" t="s">
        <v>5</v>
      </c>
      <c r="B66" s="1" t="s">
        <v>261</v>
      </c>
      <c r="C66" s="1" t="s">
        <v>262</v>
      </c>
      <c r="E66" s="1">
        <v>122</v>
      </c>
    </row>
    <row r="67" spans="1:5" ht="66.599999999999994" thickBot="1" x14ac:dyDescent="0.35">
      <c r="A67" s="1" t="s">
        <v>263</v>
      </c>
      <c r="B67" s="1" t="s">
        <v>264</v>
      </c>
      <c r="C67" s="1" t="s">
        <v>265</v>
      </c>
      <c r="E67" s="1">
        <v>123</v>
      </c>
    </row>
    <row r="68" spans="1:5" ht="53.4" thickBot="1" x14ac:dyDescent="0.35">
      <c r="A68" s="1" t="s">
        <v>266</v>
      </c>
      <c r="B68" s="1" t="s">
        <v>267</v>
      </c>
      <c r="C68" s="1" t="s">
        <v>268</v>
      </c>
      <c r="E68" s="1">
        <v>124</v>
      </c>
    </row>
    <row r="69" spans="1:5" ht="66.599999999999994" thickBot="1" x14ac:dyDescent="0.35">
      <c r="A69" s="1" t="s">
        <v>269</v>
      </c>
      <c r="B69" s="1" t="s">
        <v>270</v>
      </c>
      <c r="C69" s="1" t="s">
        <v>271</v>
      </c>
      <c r="E69" s="1">
        <v>125</v>
      </c>
    </row>
    <row r="70" spans="1:5" ht="66.599999999999994" thickBot="1" x14ac:dyDescent="0.35">
      <c r="A70" s="1" t="s">
        <v>272</v>
      </c>
      <c r="B70" s="1" t="s">
        <v>273</v>
      </c>
      <c r="C70" s="1" t="s">
        <v>274</v>
      </c>
      <c r="E70" s="1">
        <v>126</v>
      </c>
    </row>
    <row r="71" spans="1:5" ht="53.4" thickBot="1" x14ac:dyDescent="0.35">
      <c r="A71" s="1" t="s">
        <v>275</v>
      </c>
      <c r="B71" s="1" t="s">
        <v>276</v>
      </c>
      <c r="C71" s="1" t="s">
        <v>277</v>
      </c>
      <c r="E71" s="1">
        <v>127</v>
      </c>
    </row>
    <row r="72" spans="1:5" ht="53.4" thickBot="1" x14ac:dyDescent="0.35">
      <c r="A72" s="1" t="s">
        <v>278</v>
      </c>
      <c r="B72" s="1" t="s">
        <v>279</v>
      </c>
      <c r="C72" s="1" t="s">
        <v>280</v>
      </c>
      <c r="E72" s="1">
        <v>128</v>
      </c>
    </row>
    <row r="73" spans="1:5" ht="79.8" thickBot="1" x14ac:dyDescent="0.35">
      <c r="A73" s="1" t="s">
        <v>281</v>
      </c>
      <c r="B73" s="1" t="s">
        <v>282</v>
      </c>
      <c r="C73" s="1" t="s">
        <v>283</v>
      </c>
      <c r="E73" s="1">
        <v>130</v>
      </c>
    </row>
    <row r="74" spans="1:5" ht="79.8" thickBot="1" x14ac:dyDescent="0.35">
      <c r="A74" s="1" t="s">
        <v>284</v>
      </c>
      <c r="B74" s="1" t="s">
        <v>285</v>
      </c>
      <c r="C74" s="1" t="s">
        <v>286</v>
      </c>
      <c r="E74" s="1">
        <v>131</v>
      </c>
    </row>
    <row r="75" spans="1:5" ht="79.8" thickBot="1" x14ac:dyDescent="0.35">
      <c r="A75" s="1" t="s">
        <v>287</v>
      </c>
      <c r="B75" s="1" t="s">
        <v>288</v>
      </c>
      <c r="C75" s="1" t="s">
        <v>289</v>
      </c>
      <c r="E75" s="1">
        <v>132</v>
      </c>
    </row>
    <row r="76" spans="1:5" ht="66.599999999999994" thickBot="1" x14ac:dyDescent="0.35">
      <c r="A76" s="1" t="s">
        <v>290</v>
      </c>
      <c r="B76" s="1" t="s">
        <v>291</v>
      </c>
      <c r="C76" s="1" t="s">
        <v>292</v>
      </c>
      <c r="E76" s="1">
        <v>133</v>
      </c>
    </row>
    <row r="77" spans="1:5" ht="53.4" thickBot="1" x14ac:dyDescent="0.35">
      <c r="A77" s="1" t="s">
        <v>293</v>
      </c>
      <c r="B77" s="1" t="s">
        <v>294</v>
      </c>
      <c r="C77" s="1" t="s">
        <v>295</v>
      </c>
      <c r="E77" s="1">
        <v>134</v>
      </c>
    </row>
    <row r="78" spans="1:5" ht="66.599999999999994" thickBot="1" x14ac:dyDescent="0.35">
      <c r="A78" s="1" t="s">
        <v>296</v>
      </c>
      <c r="B78" s="1" t="s">
        <v>297</v>
      </c>
      <c r="C78" s="1" t="s">
        <v>298</v>
      </c>
      <c r="E78" s="1">
        <v>135</v>
      </c>
    </row>
    <row r="79" spans="1:5" ht="93" thickBot="1" x14ac:dyDescent="0.35">
      <c r="A79" s="1" t="s">
        <v>299</v>
      </c>
      <c r="B79" s="1" t="s">
        <v>300</v>
      </c>
      <c r="C79" s="1" t="s">
        <v>301</v>
      </c>
      <c r="E79" s="1">
        <v>136</v>
      </c>
    </row>
    <row r="80" spans="1:5" ht="53.4" thickBot="1" x14ac:dyDescent="0.35">
      <c r="A80" s="1" t="s">
        <v>302</v>
      </c>
      <c r="B80" s="1" t="s">
        <v>303</v>
      </c>
      <c r="C80" s="1" t="s">
        <v>304</v>
      </c>
      <c r="E80" s="1">
        <v>137</v>
      </c>
    </row>
    <row r="81" spans="1:5" ht="93" thickBot="1" x14ac:dyDescent="0.35">
      <c r="A81" s="1" t="s">
        <v>305</v>
      </c>
      <c r="B81" s="1" t="s">
        <v>306</v>
      </c>
      <c r="C81" s="1" t="s">
        <v>307</v>
      </c>
      <c r="E81" s="1">
        <v>138</v>
      </c>
    </row>
    <row r="82" spans="1:5" ht="93" thickBot="1" x14ac:dyDescent="0.35">
      <c r="A82" s="1" t="s">
        <v>308</v>
      </c>
      <c r="B82" s="1" t="s">
        <v>309</v>
      </c>
      <c r="C82" s="1" t="s">
        <v>310</v>
      </c>
      <c r="E82" s="1">
        <v>139</v>
      </c>
    </row>
    <row r="83" spans="1:5" ht="79.8" thickBot="1" x14ac:dyDescent="0.35">
      <c r="A83" s="1" t="s">
        <v>311</v>
      </c>
      <c r="B83" s="1" t="s">
        <v>312</v>
      </c>
      <c r="C83" s="1" t="s">
        <v>313</v>
      </c>
      <c r="E83" s="1">
        <v>140</v>
      </c>
    </row>
    <row r="84" spans="1:5" ht="40.200000000000003" thickBot="1" x14ac:dyDescent="0.35">
      <c r="A84" s="1" t="s">
        <v>314</v>
      </c>
      <c r="B84" s="1">
        <v>0</v>
      </c>
      <c r="C84" s="1" t="s">
        <v>315</v>
      </c>
      <c r="E84" s="1">
        <v>141</v>
      </c>
    </row>
    <row r="85" spans="1:5" ht="93" thickBot="1" x14ac:dyDescent="0.35">
      <c r="A85" s="1" t="s">
        <v>316</v>
      </c>
      <c r="B85" s="1" t="s">
        <v>317</v>
      </c>
      <c r="C85" s="1" t="s">
        <v>318</v>
      </c>
      <c r="E85" s="1">
        <v>142</v>
      </c>
    </row>
    <row r="86" spans="1:5" ht="40.200000000000003" thickBot="1" x14ac:dyDescent="0.35">
      <c r="A86" s="1" t="s">
        <v>319</v>
      </c>
      <c r="B86" s="1">
        <v>0</v>
      </c>
      <c r="C86" s="1" t="s">
        <v>320</v>
      </c>
      <c r="E86" s="1">
        <v>143</v>
      </c>
    </row>
    <row r="87" spans="1:5" ht="40.200000000000003" thickBot="1" x14ac:dyDescent="0.35">
      <c r="A87" s="1" t="s">
        <v>321</v>
      </c>
      <c r="B87" s="1">
        <v>0</v>
      </c>
      <c r="C87" s="1" t="s">
        <v>322</v>
      </c>
      <c r="E87" s="1">
        <v>144</v>
      </c>
    </row>
    <row r="88" spans="1:5" ht="79.8" thickBot="1" x14ac:dyDescent="0.35">
      <c r="A88" s="1" t="s">
        <v>39</v>
      </c>
      <c r="B88" s="1" t="s">
        <v>323</v>
      </c>
      <c r="C88" s="1" t="s">
        <v>324</v>
      </c>
      <c r="E88" s="1">
        <v>145</v>
      </c>
    </row>
    <row r="89" spans="1:5" ht="93" thickBot="1" x14ac:dyDescent="0.35">
      <c r="A89" s="1" t="s">
        <v>325</v>
      </c>
      <c r="B89" s="1" t="s">
        <v>326</v>
      </c>
      <c r="C89" s="1" t="s">
        <v>327</v>
      </c>
      <c r="E89" s="1">
        <v>146</v>
      </c>
    </row>
    <row r="90" spans="1:5" ht="79.8" thickBot="1" x14ac:dyDescent="0.35">
      <c r="A90" s="1" t="s">
        <v>24</v>
      </c>
      <c r="B90" s="1" t="s">
        <v>328</v>
      </c>
      <c r="C90" s="1" t="s">
        <v>329</v>
      </c>
      <c r="E90" s="1">
        <v>147</v>
      </c>
    </row>
    <row r="91" spans="1:5" ht="93" thickBot="1" x14ac:dyDescent="0.35">
      <c r="A91" s="1" t="s">
        <v>330</v>
      </c>
      <c r="B91" s="1" t="s">
        <v>331</v>
      </c>
      <c r="C91" s="1" t="s">
        <v>332</v>
      </c>
      <c r="E91" s="1">
        <v>148</v>
      </c>
    </row>
    <row r="92" spans="1:5" ht="53.4" thickBot="1" x14ac:dyDescent="0.35">
      <c r="A92" s="1" t="s">
        <v>333</v>
      </c>
      <c r="B92" s="1" t="s">
        <v>334</v>
      </c>
      <c r="C92" s="1" t="s">
        <v>335</v>
      </c>
      <c r="E92" s="1">
        <v>149</v>
      </c>
    </row>
    <row r="93" spans="1:5" ht="53.4" thickBot="1" x14ac:dyDescent="0.35">
      <c r="A93" s="1" t="s">
        <v>57</v>
      </c>
      <c r="B93" s="1" t="s">
        <v>336</v>
      </c>
      <c r="C93" s="1" t="s">
        <v>337</v>
      </c>
      <c r="E93" s="1">
        <v>150</v>
      </c>
    </row>
    <row r="94" spans="1:5" ht="53.4" thickBot="1" x14ac:dyDescent="0.35">
      <c r="A94" s="1" t="s">
        <v>338</v>
      </c>
      <c r="B94" s="1" t="s">
        <v>339</v>
      </c>
      <c r="C94" s="1" t="s">
        <v>340</v>
      </c>
      <c r="E94" s="1">
        <v>151</v>
      </c>
    </row>
    <row r="95" spans="1:5" ht="53.4" thickBot="1" x14ac:dyDescent="0.35">
      <c r="A95" s="1" t="s">
        <v>341</v>
      </c>
      <c r="B95" s="1" t="s">
        <v>342</v>
      </c>
      <c r="C95" s="1" t="s">
        <v>343</v>
      </c>
      <c r="E95" s="1">
        <v>152</v>
      </c>
    </row>
    <row r="96" spans="1:5" ht="66.599999999999994" thickBot="1" x14ac:dyDescent="0.35">
      <c r="A96" s="1" t="s">
        <v>344</v>
      </c>
      <c r="B96" s="1" t="s">
        <v>345</v>
      </c>
      <c r="C96" s="1" t="s">
        <v>346</v>
      </c>
      <c r="E96" s="1">
        <v>153</v>
      </c>
    </row>
    <row r="97" spans="1:5" ht="79.8" thickBot="1" x14ac:dyDescent="0.35">
      <c r="A97" s="1" t="s">
        <v>347</v>
      </c>
      <c r="B97" s="1" t="s">
        <v>348</v>
      </c>
      <c r="C97" s="1" t="s">
        <v>349</v>
      </c>
      <c r="E97" s="1">
        <v>154</v>
      </c>
    </row>
    <row r="98" spans="1:5" ht="106.2" thickBot="1" x14ac:dyDescent="0.35">
      <c r="A98" s="1" t="s">
        <v>350</v>
      </c>
      <c r="B98" s="1" t="s">
        <v>351</v>
      </c>
      <c r="C98" s="1" t="s">
        <v>352</v>
      </c>
      <c r="E98" s="1">
        <v>155</v>
      </c>
    </row>
    <row r="99" spans="1:5" ht="66.599999999999994" thickBot="1" x14ac:dyDescent="0.35">
      <c r="A99" s="1" t="s">
        <v>353</v>
      </c>
      <c r="B99" s="1" t="s">
        <v>354</v>
      </c>
      <c r="C99" s="1" t="s">
        <v>355</v>
      </c>
      <c r="E99" s="1">
        <v>156</v>
      </c>
    </row>
    <row r="100" spans="1:5" ht="40.200000000000003" thickBot="1" x14ac:dyDescent="0.35">
      <c r="A100" s="1" t="s">
        <v>356</v>
      </c>
      <c r="B100" s="1">
        <v>0</v>
      </c>
      <c r="C100" s="1" t="s">
        <v>357</v>
      </c>
      <c r="E100" s="1">
        <v>157</v>
      </c>
    </row>
    <row r="101" spans="1:5" ht="79.8" thickBot="1" x14ac:dyDescent="0.35">
      <c r="A101" s="1" t="s">
        <v>358</v>
      </c>
      <c r="B101" s="1" t="s">
        <v>359</v>
      </c>
      <c r="C101" s="1" t="s">
        <v>360</v>
      </c>
      <c r="E101" s="1">
        <v>158</v>
      </c>
    </row>
    <row r="102" spans="1:5" ht="93" thickBot="1" x14ac:dyDescent="0.35">
      <c r="A102" s="1" t="s">
        <v>361</v>
      </c>
      <c r="B102" s="1" t="s">
        <v>362</v>
      </c>
      <c r="C102" s="1" t="s">
        <v>363</v>
      </c>
      <c r="E102" s="1">
        <v>159</v>
      </c>
    </row>
    <row r="103" spans="1:5" ht="79.8" thickBot="1" x14ac:dyDescent="0.35">
      <c r="A103" s="1"/>
      <c r="B103" s="1" t="s">
        <v>364</v>
      </c>
      <c r="C103" s="1" t="s">
        <v>365</v>
      </c>
      <c r="E103" s="1">
        <v>160</v>
      </c>
    </row>
    <row r="104" spans="1:5" ht="79.8" thickBot="1" x14ac:dyDescent="0.35">
      <c r="A104" s="1" t="s">
        <v>366</v>
      </c>
      <c r="B104" s="1" t="s">
        <v>367</v>
      </c>
      <c r="C104" s="1" t="s">
        <v>368</v>
      </c>
      <c r="E104" s="1">
        <v>161</v>
      </c>
    </row>
    <row r="105" spans="1:5" ht="53.4" thickBot="1" x14ac:dyDescent="0.35">
      <c r="A105" s="1" t="s">
        <v>369</v>
      </c>
      <c r="B105" s="1" t="s">
        <v>370</v>
      </c>
      <c r="C105" s="1" t="s">
        <v>371</v>
      </c>
      <c r="E105" s="1">
        <v>162</v>
      </c>
    </row>
    <row r="106" spans="1:5" ht="53.4" thickBot="1" x14ac:dyDescent="0.35">
      <c r="A106" s="1" t="s">
        <v>372</v>
      </c>
      <c r="B106" s="1" t="s">
        <v>373</v>
      </c>
      <c r="C106" s="1" t="s">
        <v>374</v>
      </c>
      <c r="E106" s="1">
        <v>163</v>
      </c>
    </row>
    <row r="107" spans="1:5" ht="53.4" thickBot="1" x14ac:dyDescent="0.35">
      <c r="A107" s="1" t="s">
        <v>375</v>
      </c>
      <c r="B107" s="1" t="s">
        <v>376</v>
      </c>
      <c r="C107" s="1" t="s">
        <v>377</v>
      </c>
      <c r="E107" s="1">
        <v>164</v>
      </c>
    </row>
    <row r="108" spans="1:5" ht="53.4" thickBot="1" x14ac:dyDescent="0.35">
      <c r="A108" s="1" t="s">
        <v>378</v>
      </c>
      <c r="B108" s="1" t="s">
        <v>379</v>
      </c>
      <c r="C108" s="1" t="s">
        <v>380</v>
      </c>
      <c r="E108" s="1">
        <v>165</v>
      </c>
    </row>
    <row r="109" spans="1:5" ht="79.8" thickBot="1" x14ac:dyDescent="0.35">
      <c r="A109" s="1" t="s">
        <v>381</v>
      </c>
      <c r="B109" s="1" t="s">
        <v>382</v>
      </c>
      <c r="C109" s="1" t="s">
        <v>383</v>
      </c>
      <c r="E109" s="1">
        <v>166</v>
      </c>
    </row>
    <row r="110" spans="1:5" ht="53.4" thickBot="1" x14ac:dyDescent="0.35">
      <c r="A110" s="1" t="s">
        <v>384</v>
      </c>
      <c r="B110" s="1" t="s">
        <v>385</v>
      </c>
      <c r="C110" s="1" t="s">
        <v>386</v>
      </c>
      <c r="E110" s="1">
        <v>167</v>
      </c>
    </row>
    <row r="111" spans="1:5" ht="79.8" thickBot="1" x14ac:dyDescent="0.35">
      <c r="A111" s="1" t="s">
        <v>387</v>
      </c>
      <c r="B111" s="1" t="s">
        <v>388</v>
      </c>
      <c r="C111" s="1" t="s">
        <v>389</v>
      </c>
      <c r="E111" s="1">
        <v>168</v>
      </c>
    </row>
    <row r="112" spans="1:5" ht="53.4" thickBot="1" x14ac:dyDescent="0.35">
      <c r="A112" s="1" t="s">
        <v>390</v>
      </c>
      <c r="B112" s="1" t="s">
        <v>391</v>
      </c>
      <c r="C112" s="1" t="s">
        <v>392</v>
      </c>
      <c r="E112" s="1">
        <v>169</v>
      </c>
    </row>
    <row r="113" spans="1:5" ht="79.8" thickBot="1" x14ac:dyDescent="0.35">
      <c r="A113" s="1" t="s">
        <v>393</v>
      </c>
      <c r="B113" s="1" t="s">
        <v>394</v>
      </c>
      <c r="C113" s="1" t="s">
        <v>395</v>
      </c>
      <c r="E113" s="1">
        <v>170</v>
      </c>
    </row>
    <row r="114" spans="1:5" ht="79.8" thickBot="1" x14ac:dyDescent="0.35">
      <c r="A114" s="1" t="s">
        <v>396</v>
      </c>
      <c r="B114" s="1" t="s">
        <v>397</v>
      </c>
      <c r="C114" s="1" t="s">
        <v>398</v>
      </c>
      <c r="E114" s="1">
        <v>171</v>
      </c>
    </row>
    <row r="115" spans="1:5" ht="53.4" thickBot="1" x14ac:dyDescent="0.35">
      <c r="A115" s="1" t="s">
        <v>399</v>
      </c>
      <c r="B115" s="1" t="s">
        <v>400</v>
      </c>
      <c r="C115" s="1" t="s">
        <v>401</v>
      </c>
      <c r="E115" s="1">
        <v>172</v>
      </c>
    </row>
    <row r="116" spans="1:5" ht="66.599999999999994" thickBot="1" x14ac:dyDescent="0.35">
      <c r="A116" s="1" t="s">
        <v>402</v>
      </c>
      <c r="B116" s="1" t="s">
        <v>403</v>
      </c>
      <c r="C116" s="1" t="s">
        <v>404</v>
      </c>
      <c r="E116" s="1">
        <v>173</v>
      </c>
    </row>
    <row r="117" spans="1:5" ht="66.599999999999994" thickBot="1" x14ac:dyDescent="0.35">
      <c r="A117" s="1" t="s">
        <v>405</v>
      </c>
      <c r="B117" s="1" t="s">
        <v>406</v>
      </c>
      <c r="C117" s="1" t="s">
        <v>407</v>
      </c>
      <c r="E117" s="1">
        <v>174</v>
      </c>
    </row>
    <row r="118" spans="1:5" ht="79.8" thickBot="1" x14ac:dyDescent="0.35">
      <c r="A118" s="1" t="s">
        <v>408</v>
      </c>
      <c r="B118" s="1" t="s">
        <v>409</v>
      </c>
      <c r="C118" s="1" t="s">
        <v>410</v>
      </c>
      <c r="E118" s="1">
        <v>175</v>
      </c>
    </row>
    <row r="119" spans="1:5" ht="53.4" thickBot="1" x14ac:dyDescent="0.35">
      <c r="A119" s="1" t="s">
        <v>411</v>
      </c>
      <c r="B119" s="1" t="s">
        <v>412</v>
      </c>
      <c r="C119" s="1" t="s">
        <v>413</v>
      </c>
      <c r="E119" s="1">
        <v>176</v>
      </c>
    </row>
    <row r="120" spans="1:5" ht="66.599999999999994" thickBot="1" x14ac:dyDescent="0.35">
      <c r="A120" s="1" t="s">
        <v>414</v>
      </c>
      <c r="B120" s="1" t="s">
        <v>415</v>
      </c>
      <c r="C120" s="1" t="s">
        <v>416</v>
      </c>
      <c r="E120" s="1">
        <v>177</v>
      </c>
    </row>
    <row r="121" spans="1:5" ht="79.8" thickBot="1" x14ac:dyDescent="0.35">
      <c r="A121" s="1" t="s">
        <v>417</v>
      </c>
      <c r="B121" s="1" t="s">
        <v>418</v>
      </c>
      <c r="C121" s="1" t="s">
        <v>419</v>
      </c>
      <c r="E121" s="1">
        <v>178</v>
      </c>
    </row>
    <row r="122" spans="1:5" ht="79.8" thickBot="1" x14ac:dyDescent="0.35">
      <c r="A122" s="1" t="s">
        <v>420</v>
      </c>
      <c r="B122" s="1" t="s">
        <v>421</v>
      </c>
      <c r="C122" s="1" t="s">
        <v>422</v>
      </c>
      <c r="E122" s="1">
        <v>179</v>
      </c>
    </row>
    <row r="123" spans="1:5" ht="93" thickBot="1" x14ac:dyDescent="0.35">
      <c r="A123" s="1" t="s">
        <v>423</v>
      </c>
      <c r="B123" s="1" t="s">
        <v>424</v>
      </c>
      <c r="C123" s="1" t="s">
        <v>425</v>
      </c>
      <c r="E123" s="1">
        <v>180</v>
      </c>
    </row>
    <row r="124" spans="1:5" ht="53.4" thickBot="1" x14ac:dyDescent="0.35">
      <c r="A124" s="1" t="s">
        <v>426</v>
      </c>
      <c r="B124" s="1" t="s">
        <v>427</v>
      </c>
      <c r="C124" s="1" t="s">
        <v>428</v>
      </c>
      <c r="E124" s="1">
        <v>181</v>
      </c>
    </row>
    <row r="125" spans="1:5" ht="79.8" thickBot="1" x14ac:dyDescent="0.35">
      <c r="A125" s="1" t="s">
        <v>429</v>
      </c>
      <c r="B125" s="1" t="s">
        <v>430</v>
      </c>
      <c r="C125" s="1" t="s">
        <v>431</v>
      </c>
      <c r="E125" s="1">
        <v>182</v>
      </c>
    </row>
    <row r="126" spans="1:5" ht="79.8" thickBot="1" x14ac:dyDescent="0.35">
      <c r="A126" s="1" t="s">
        <v>432</v>
      </c>
      <c r="B126" s="1" t="s">
        <v>433</v>
      </c>
      <c r="C126" s="1" t="s">
        <v>434</v>
      </c>
      <c r="E126" s="1">
        <v>183</v>
      </c>
    </row>
    <row r="127" spans="1:5" ht="66.599999999999994" thickBot="1" x14ac:dyDescent="0.35">
      <c r="A127" s="1" t="s">
        <v>435</v>
      </c>
      <c r="B127" s="1" t="s">
        <v>436</v>
      </c>
      <c r="C127" s="1" t="s">
        <v>437</v>
      </c>
      <c r="E127" s="1">
        <v>184</v>
      </c>
    </row>
    <row r="128" spans="1:5" ht="66.599999999999994" thickBot="1" x14ac:dyDescent="0.35">
      <c r="A128" s="1" t="s">
        <v>438</v>
      </c>
      <c r="B128" s="1" t="s">
        <v>439</v>
      </c>
      <c r="C128" s="1" t="s">
        <v>440</v>
      </c>
      <c r="E128" s="1">
        <v>185</v>
      </c>
    </row>
    <row r="129" spans="1:5" ht="79.8" thickBot="1" x14ac:dyDescent="0.35">
      <c r="A129" s="1" t="s">
        <v>441</v>
      </c>
      <c r="B129" s="1" t="s">
        <v>442</v>
      </c>
      <c r="C129" s="1" t="s">
        <v>443</v>
      </c>
      <c r="E129" s="1">
        <v>186</v>
      </c>
    </row>
    <row r="130" spans="1:5" ht="93" thickBot="1" x14ac:dyDescent="0.35">
      <c r="A130" s="1" t="s">
        <v>444</v>
      </c>
      <c r="B130" s="1" t="s">
        <v>445</v>
      </c>
      <c r="C130" s="1" t="s">
        <v>446</v>
      </c>
      <c r="E130" s="1">
        <v>187</v>
      </c>
    </row>
    <row r="131" spans="1:5" ht="79.8" thickBot="1" x14ac:dyDescent="0.35">
      <c r="A131" s="1" t="s">
        <v>447</v>
      </c>
      <c r="B131" s="1" t="s">
        <v>448</v>
      </c>
      <c r="C131" s="1" t="s">
        <v>449</v>
      </c>
      <c r="E131" s="1">
        <v>188</v>
      </c>
    </row>
    <row r="132" spans="1:5" ht="66.599999999999994" thickBot="1" x14ac:dyDescent="0.35">
      <c r="A132" s="1" t="s">
        <v>450</v>
      </c>
      <c r="B132" s="1" t="s">
        <v>451</v>
      </c>
      <c r="C132" s="1" t="s">
        <v>452</v>
      </c>
      <c r="E132" s="1">
        <v>189</v>
      </c>
    </row>
    <row r="133" spans="1:5" ht="79.8" thickBot="1" x14ac:dyDescent="0.35">
      <c r="A133" s="1" t="s">
        <v>453</v>
      </c>
      <c r="B133" s="1" t="s">
        <v>454</v>
      </c>
      <c r="C133" s="1" t="s">
        <v>455</v>
      </c>
      <c r="E133" s="1">
        <v>190</v>
      </c>
    </row>
    <row r="134" spans="1:5" ht="79.8" thickBot="1" x14ac:dyDescent="0.35">
      <c r="A134" s="1" t="s">
        <v>456</v>
      </c>
      <c r="B134" s="1" t="s">
        <v>457</v>
      </c>
      <c r="C134" s="1" t="s">
        <v>458</v>
      </c>
      <c r="E134" s="1">
        <v>191</v>
      </c>
    </row>
    <row r="135" spans="1:5" ht="93" thickBot="1" x14ac:dyDescent="0.35">
      <c r="A135" s="1" t="s">
        <v>459</v>
      </c>
      <c r="B135" s="1" t="s">
        <v>460</v>
      </c>
      <c r="C135" s="1" t="s">
        <v>461</v>
      </c>
      <c r="E135" s="1">
        <v>192</v>
      </c>
    </row>
    <row r="136" spans="1:5" ht="93" thickBot="1" x14ac:dyDescent="0.35">
      <c r="A136" s="1" t="s">
        <v>462</v>
      </c>
      <c r="B136" s="1" t="s">
        <v>463</v>
      </c>
      <c r="C136" s="1" t="s">
        <v>464</v>
      </c>
      <c r="E136" s="1">
        <v>193</v>
      </c>
    </row>
    <row r="137" spans="1:5" ht="93" thickBot="1" x14ac:dyDescent="0.35">
      <c r="A137" s="1" t="s">
        <v>465</v>
      </c>
      <c r="B137" s="1" t="s">
        <v>466</v>
      </c>
      <c r="C137" s="1" t="s">
        <v>467</v>
      </c>
      <c r="E137" s="1">
        <v>194</v>
      </c>
    </row>
    <row r="138" spans="1:5" ht="79.8" thickBot="1" x14ac:dyDescent="0.35">
      <c r="A138" s="1" t="s">
        <v>468</v>
      </c>
      <c r="B138" s="1" t="s">
        <v>469</v>
      </c>
      <c r="C138" s="1" t="s">
        <v>470</v>
      </c>
      <c r="E138" s="1">
        <v>195</v>
      </c>
    </row>
    <row r="139" spans="1:5" ht="93" thickBot="1" x14ac:dyDescent="0.35">
      <c r="A139" s="1" t="s">
        <v>471</v>
      </c>
      <c r="B139" s="1" t="s">
        <v>472</v>
      </c>
      <c r="C139" s="1" t="s">
        <v>473</v>
      </c>
      <c r="E139" s="1">
        <v>196</v>
      </c>
    </row>
    <row r="140" spans="1:5" ht="93" thickBot="1" x14ac:dyDescent="0.35">
      <c r="A140" s="1" t="s">
        <v>474</v>
      </c>
      <c r="B140" s="1" t="s">
        <v>475</v>
      </c>
      <c r="C140" s="1" t="s">
        <v>476</v>
      </c>
      <c r="E140" s="1">
        <v>197</v>
      </c>
    </row>
    <row r="141" spans="1:5" ht="79.8" thickBot="1" x14ac:dyDescent="0.35">
      <c r="A141" s="1" t="s">
        <v>477</v>
      </c>
      <c r="B141" s="1" t="s">
        <v>478</v>
      </c>
      <c r="C141" s="1" t="s">
        <v>479</v>
      </c>
      <c r="E141" s="1">
        <v>198</v>
      </c>
    </row>
    <row r="142" spans="1:5" ht="93" thickBot="1" x14ac:dyDescent="0.35">
      <c r="A142" s="1" t="s">
        <v>480</v>
      </c>
      <c r="B142" s="1" t="s">
        <v>481</v>
      </c>
      <c r="C142" s="1" t="s">
        <v>482</v>
      </c>
      <c r="E142" s="1">
        <v>199</v>
      </c>
    </row>
    <row r="143" spans="1:5" ht="93" thickBot="1" x14ac:dyDescent="0.35">
      <c r="A143" s="1" t="s">
        <v>483</v>
      </c>
      <c r="B143" s="1" t="s">
        <v>484</v>
      </c>
      <c r="C143" s="1" t="s">
        <v>485</v>
      </c>
      <c r="E143" s="1">
        <v>200</v>
      </c>
    </row>
    <row r="144" spans="1:5" ht="93" thickBot="1" x14ac:dyDescent="0.35">
      <c r="A144" s="1" t="s">
        <v>486</v>
      </c>
      <c r="B144" s="1" t="s">
        <v>487</v>
      </c>
      <c r="C144" s="1" t="s">
        <v>488</v>
      </c>
      <c r="E144" s="1">
        <v>201</v>
      </c>
    </row>
    <row r="145" spans="1:5" ht="93" thickBot="1" x14ac:dyDescent="0.35">
      <c r="A145" s="1" t="s">
        <v>489</v>
      </c>
      <c r="B145" s="1" t="s">
        <v>490</v>
      </c>
      <c r="C145" s="1" t="s">
        <v>491</v>
      </c>
      <c r="E145" s="1">
        <v>202</v>
      </c>
    </row>
    <row r="146" spans="1:5" ht="93" thickBot="1" x14ac:dyDescent="0.35">
      <c r="A146" s="1" t="s">
        <v>492</v>
      </c>
      <c r="B146" s="1" t="s">
        <v>493</v>
      </c>
      <c r="C146" s="1" t="s">
        <v>494</v>
      </c>
      <c r="E146" s="1">
        <v>203</v>
      </c>
    </row>
    <row r="147" spans="1:5" ht="93" thickBot="1" x14ac:dyDescent="0.35">
      <c r="A147" s="1" t="s">
        <v>495</v>
      </c>
      <c r="B147" s="1" t="s">
        <v>496</v>
      </c>
      <c r="C147" s="1" t="s">
        <v>497</v>
      </c>
      <c r="E147" s="1">
        <v>204</v>
      </c>
    </row>
    <row r="148" spans="1:5" ht="93" thickBot="1" x14ac:dyDescent="0.35">
      <c r="A148" s="1" t="s">
        <v>498</v>
      </c>
      <c r="B148" s="1" t="s">
        <v>499</v>
      </c>
      <c r="C148" s="1" t="s">
        <v>500</v>
      </c>
      <c r="E148" s="1">
        <v>205</v>
      </c>
    </row>
    <row r="149" spans="1:5" ht="93" thickBot="1" x14ac:dyDescent="0.35">
      <c r="A149" s="1" t="s">
        <v>501</v>
      </c>
      <c r="B149" s="1" t="s">
        <v>502</v>
      </c>
      <c r="C149" s="1" t="s">
        <v>503</v>
      </c>
      <c r="E149" s="1">
        <v>206</v>
      </c>
    </row>
    <row r="150" spans="1:5" ht="93" thickBot="1" x14ac:dyDescent="0.35">
      <c r="A150" s="1" t="s">
        <v>504</v>
      </c>
      <c r="B150" s="1" t="s">
        <v>505</v>
      </c>
      <c r="C150" s="1" t="s">
        <v>506</v>
      </c>
      <c r="E150" s="1">
        <v>207</v>
      </c>
    </row>
    <row r="151" spans="1:5" ht="79.8" thickBot="1" x14ac:dyDescent="0.35">
      <c r="A151" s="1" t="s">
        <v>507</v>
      </c>
      <c r="B151" s="1" t="s">
        <v>508</v>
      </c>
      <c r="C151" s="1" t="s">
        <v>509</v>
      </c>
      <c r="E151" s="1">
        <v>208</v>
      </c>
    </row>
    <row r="152" spans="1:5" ht="79.8" thickBot="1" x14ac:dyDescent="0.35">
      <c r="A152" s="1" t="s">
        <v>510</v>
      </c>
      <c r="B152" s="1" t="s">
        <v>511</v>
      </c>
      <c r="C152" s="1" t="s">
        <v>512</v>
      </c>
      <c r="E152" s="1">
        <v>209</v>
      </c>
    </row>
    <row r="153" spans="1:5" ht="93" thickBot="1" x14ac:dyDescent="0.35">
      <c r="A153" s="1" t="s">
        <v>513</v>
      </c>
      <c r="B153" s="1" t="s">
        <v>514</v>
      </c>
      <c r="C153" s="1" t="s">
        <v>515</v>
      </c>
      <c r="E153" s="1">
        <v>210</v>
      </c>
    </row>
    <row r="154" spans="1:5" ht="93" thickBot="1" x14ac:dyDescent="0.35">
      <c r="A154" s="1" t="s">
        <v>516</v>
      </c>
      <c r="B154" s="1" t="s">
        <v>517</v>
      </c>
      <c r="C154" s="1" t="s">
        <v>518</v>
      </c>
      <c r="E154" s="1">
        <v>211</v>
      </c>
    </row>
    <row r="155" spans="1:5" ht="93" thickBot="1" x14ac:dyDescent="0.35">
      <c r="A155" s="1" t="s">
        <v>519</v>
      </c>
      <c r="B155" s="1" t="s">
        <v>520</v>
      </c>
      <c r="C155" s="1" t="s">
        <v>521</v>
      </c>
      <c r="E155" s="1">
        <v>212</v>
      </c>
    </row>
    <row r="156" spans="1:5" ht="79.8" thickBot="1" x14ac:dyDescent="0.35">
      <c r="A156" s="1" t="s">
        <v>522</v>
      </c>
      <c r="B156" s="1" t="s">
        <v>523</v>
      </c>
      <c r="C156" s="1" t="s">
        <v>524</v>
      </c>
      <c r="E156" s="1">
        <v>213</v>
      </c>
    </row>
    <row r="157" spans="1:5" ht="93" thickBot="1" x14ac:dyDescent="0.35">
      <c r="A157" s="1" t="s">
        <v>525</v>
      </c>
      <c r="B157" s="1" t="s">
        <v>526</v>
      </c>
      <c r="C157" s="1" t="s">
        <v>527</v>
      </c>
      <c r="E157" s="1">
        <v>214</v>
      </c>
    </row>
    <row r="158" spans="1:5" ht="66.599999999999994" thickBot="1" x14ac:dyDescent="0.35">
      <c r="A158" s="1" t="s">
        <v>528</v>
      </c>
      <c r="B158" s="1" t="s">
        <v>529</v>
      </c>
      <c r="C158" s="1" t="s">
        <v>530</v>
      </c>
      <c r="E158" s="1">
        <v>215</v>
      </c>
    </row>
    <row r="159" spans="1:5" ht="93" thickBot="1" x14ac:dyDescent="0.35">
      <c r="A159" s="1" t="s">
        <v>531</v>
      </c>
      <c r="B159" s="1" t="s">
        <v>532</v>
      </c>
      <c r="C159" s="1" t="s">
        <v>533</v>
      </c>
      <c r="E159" s="1">
        <v>216</v>
      </c>
    </row>
    <row r="160" spans="1:5" ht="93" thickBot="1" x14ac:dyDescent="0.35">
      <c r="A160" s="1" t="s">
        <v>534</v>
      </c>
      <c r="B160" s="1" t="s">
        <v>535</v>
      </c>
      <c r="C160" s="1" t="s">
        <v>536</v>
      </c>
      <c r="E160" s="1">
        <v>217</v>
      </c>
    </row>
    <row r="161" spans="1:5" ht="93" thickBot="1" x14ac:dyDescent="0.35">
      <c r="A161" s="1" t="s">
        <v>537</v>
      </c>
      <c r="B161" s="1" t="s">
        <v>538</v>
      </c>
      <c r="C161" s="1" t="s">
        <v>539</v>
      </c>
      <c r="E161" s="1">
        <v>218</v>
      </c>
    </row>
    <row r="162" spans="1:5" ht="93" thickBot="1" x14ac:dyDescent="0.35">
      <c r="A162" s="1" t="s">
        <v>540</v>
      </c>
      <c r="B162" s="1" t="s">
        <v>541</v>
      </c>
      <c r="C162" s="1" t="s">
        <v>542</v>
      </c>
      <c r="E162" s="1">
        <v>219</v>
      </c>
    </row>
    <row r="163" spans="1:5" ht="93" thickBot="1" x14ac:dyDescent="0.35">
      <c r="A163" s="1" t="s">
        <v>543</v>
      </c>
      <c r="B163" s="1" t="s">
        <v>544</v>
      </c>
      <c r="C163" s="1" t="s">
        <v>545</v>
      </c>
      <c r="E163" s="1">
        <v>220</v>
      </c>
    </row>
    <row r="164" spans="1:5" ht="93" thickBot="1" x14ac:dyDescent="0.35">
      <c r="A164" s="1" t="s">
        <v>546</v>
      </c>
      <c r="B164" s="1" t="s">
        <v>547</v>
      </c>
      <c r="C164" s="1" t="s">
        <v>548</v>
      </c>
      <c r="E164" s="1">
        <v>221</v>
      </c>
    </row>
    <row r="165" spans="1:5" ht="93" thickBot="1" x14ac:dyDescent="0.35">
      <c r="A165" s="1" t="s">
        <v>549</v>
      </c>
      <c r="B165" s="1" t="s">
        <v>550</v>
      </c>
      <c r="C165" s="1" t="s">
        <v>551</v>
      </c>
      <c r="E165" s="1">
        <v>222</v>
      </c>
    </row>
    <row r="166" spans="1:5" ht="79.8" thickBot="1" x14ac:dyDescent="0.35">
      <c r="A166" s="1" t="s">
        <v>552</v>
      </c>
      <c r="B166" s="1" t="s">
        <v>553</v>
      </c>
      <c r="C166" s="1" t="s">
        <v>554</v>
      </c>
      <c r="E166" s="1">
        <v>223</v>
      </c>
    </row>
    <row r="167" spans="1:5" ht="79.8" thickBot="1" x14ac:dyDescent="0.35">
      <c r="A167" s="1" t="s">
        <v>555</v>
      </c>
      <c r="B167" s="1" t="s">
        <v>556</v>
      </c>
      <c r="C167" s="1" t="s">
        <v>557</v>
      </c>
      <c r="E167" s="1">
        <v>224</v>
      </c>
    </row>
    <row r="168" spans="1:5" ht="79.8" thickBot="1" x14ac:dyDescent="0.35">
      <c r="A168" s="1" t="s">
        <v>558</v>
      </c>
      <c r="B168" s="1" t="s">
        <v>559</v>
      </c>
      <c r="C168" s="1" t="s">
        <v>560</v>
      </c>
      <c r="E168" s="1">
        <v>225</v>
      </c>
    </row>
    <row r="169" spans="1:5" ht="79.8" thickBot="1" x14ac:dyDescent="0.35">
      <c r="A169" s="1" t="s">
        <v>561</v>
      </c>
      <c r="B169" s="1" t="s">
        <v>562</v>
      </c>
      <c r="C169" s="1" t="s">
        <v>563</v>
      </c>
      <c r="E169" s="1">
        <v>226</v>
      </c>
    </row>
    <row r="170" spans="1:5" ht="66.599999999999994" thickBot="1" x14ac:dyDescent="0.35">
      <c r="A170" s="1" t="s">
        <v>564</v>
      </c>
      <c r="B170" s="1" t="s">
        <v>565</v>
      </c>
      <c r="C170" s="1" t="s">
        <v>566</v>
      </c>
      <c r="E170" s="1">
        <v>227</v>
      </c>
    </row>
    <row r="171" spans="1:5" ht="79.8" thickBot="1" x14ac:dyDescent="0.35">
      <c r="A171" s="1" t="s">
        <v>567</v>
      </c>
      <c r="B171" s="1" t="s">
        <v>568</v>
      </c>
      <c r="C171" s="1" t="s">
        <v>569</v>
      </c>
      <c r="E171" s="1">
        <v>228</v>
      </c>
    </row>
    <row r="172" spans="1:5" ht="79.8" thickBot="1" x14ac:dyDescent="0.35">
      <c r="A172" s="1" t="s">
        <v>570</v>
      </c>
      <c r="B172" s="1" t="s">
        <v>571</v>
      </c>
      <c r="C172" s="1" t="s">
        <v>572</v>
      </c>
      <c r="E172" s="1">
        <v>229</v>
      </c>
    </row>
    <row r="173" spans="1:5" ht="66.599999999999994" thickBot="1" x14ac:dyDescent="0.35">
      <c r="A173" s="1" t="s">
        <v>573</v>
      </c>
      <c r="B173" s="1" t="s">
        <v>574</v>
      </c>
      <c r="C173" s="1" t="s">
        <v>575</v>
      </c>
      <c r="E173" s="1">
        <v>230</v>
      </c>
    </row>
    <row r="174" spans="1:5" ht="79.8" thickBot="1" x14ac:dyDescent="0.35">
      <c r="A174" s="1" t="s">
        <v>576</v>
      </c>
      <c r="B174" s="1" t="s">
        <v>577</v>
      </c>
      <c r="C174" s="1" t="s">
        <v>578</v>
      </c>
      <c r="E174" s="1">
        <v>231</v>
      </c>
    </row>
    <row r="175" spans="1:5" ht="79.8" thickBot="1" x14ac:dyDescent="0.35">
      <c r="A175" s="1" t="s">
        <v>579</v>
      </c>
      <c r="B175" s="1" t="s">
        <v>580</v>
      </c>
      <c r="C175" s="1" t="s">
        <v>581</v>
      </c>
      <c r="E175" s="1">
        <v>232</v>
      </c>
    </row>
    <row r="176" spans="1:5" ht="79.8" thickBot="1" x14ac:dyDescent="0.35">
      <c r="A176" s="1" t="s">
        <v>582</v>
      </c>
      <c r="B176" s="1" t="s">
        <v>583</v>
      </c>
      <c r="C176" s="1" t="s">
        <v>584</v>
      </c>
      <c r="E176" s="1">
        <v>233</v>
      </c>
    </row>
    <row r="177" spans="1:5" ht="79.8" thickBot="1" x14ac:dyDescent="0.35">
      <c r="A177" s="1" t="s">
        <v>585</v>
      </c>
      <c r="B177" s="1" t="s">
        <v>586</v>
      </c>
      <c r="C177" s="1" t="s">
        <v>587</v>
      </c>
      <c r="E177" s="1">
        <v>234</v>
      </c>
    </row>
    <row r="178" spans="1:5" ht="79.8" thickBot="1" x14ac:dyDescent="0.35">
      <c r="A178" s="1" t="s">
        <v>588</v>
      </c>
      <c r="B178" s="1" t="s">
        <v>589</v>
      </c>
      <c r="C178" s="1" t="s">
        <v>590</v>
      </c>
      <c r="E178" s="1">
        <v>235</v>
      </c>
    </row>
    <row r="179" spans="1:5" ht="79.8" thickBot="1" x14ac:dyDescent="0.35">
      <c r="A179" s="1" t="s">
        <v>591</v>
      </c>
      <c r="B179" s="1" t="s">
        <v>592</v>
      </c>
      <c r="C179" s="1" t="s">
        <v>593</v>
      </c>
      <c r="E179" s="1">
        <v>236</v>
      </c>
    </row>
    <row r="180" spans="1:5" ht="79.8" thickBot="1" x14ac:dyDescent="0.35">
      <c r="A180" s="1" t="s">
        <v>594</v>
      </c>
      <c r="B180" s="1" t="s">
        <v>595</v>
      </c>
      <c r="C180" s="1" t="s">
        <v>596</v>
      </c>
      <c r="E180" s="1">
        <v>237</v>
      </c>
    </row>
    <row r="181" spans="1:5" ht="79.8" thickBot="1" x14ac:dyDescent="0.35">
      <c r="A181" s="1" t="s">
        <v>597</v>
      </c>
      <c r="B181" s="1" t="s">
        <v>598</v>
      </c>
      <c r="C181" s="1" t="s">
        <v>599</v>
      </c>
      <c r="E181" s="1">
        <v>238</v>
      </c>
    </row>
    <row r="182" spans="1:5" ht="79.8" thickBot="1" x14ac:dyDescent="0.35">
      <c r="A182" s="1" t="s">
        <v>600</v>
      </c>
      <c r="B182" s="1" t="s">
        <v>601</v>
      </c>
      <c r="C182" s="1" t="s">
        <v>602</v>
      </c>
      <c r="E182" s="1">
        <v>239</v>
      </c>
    </row>
    <row r="183" spans="1:5" ht="66.599999999999994" thickBot="1" x14ac:dyDescent="0.35">
      <c r="A183" s="1" t="s">
        <v>603</v>
      </c>
      <c r="B183" s="1" t="s">
        <v>604</v>
      </c>
      <c r="C183" s="1" t="s">
        <v>605</v>
      </c>
      <c r="E183" s="1">
        <v>240</v>
      </c>
    </row>
    <row r="184" spans="1:5" ht="66.599999999999994" thickBot="1" x14ac:dyDescent="0.35">
      <c r="A184" s="1" t="s">
        <v>606</v>
      </c>
      <c r="B184" s="1" t="s">
        <v>607</v>
      </c>
      <c r="C184" s="1" t="s">
        <v>608</v>
      </c>
      <c r="E184" s="1">
        <v>241</v>
      </c>
    </row>
    <row r="185" spans="1:5" ht="79.8" thickBot="1" x14ac:dyDescent="0.35">
      <c r="A185" s="1" t="s">
        <v>609</v>
      </c>
      <c r="B185" s="1" t="s">
        <v>610</v>
      </c>
      <c r="C185" s="1" t="s">
        <v>611</v>
      </c>
      <c r="E185" s="1">
        <v>242</v>
      </c>
    </row>
    <row r="186" spans="1:5" ht="79.8" thickBot="1" x14ac:dyDescent="0.35">
      <c r="A186" s="1" t="s">
        <v>612</v>
      </c>
      <c r="B186" s="1" t="s">
        <v>613</v>
      </c>
      <c r="C186" s="1" t="s">
        <v>614</v>
      </c>
      <c r="E186" s="1">
        <v>243</v>
      </c>
    </row>
    <row r="187" spans="1:5" ht="79.8" thickBot="1" x14ac:dyDescent="0.35">
      <c r="A187" s="1" t="s">
        <v>615</v>
      </c>
      <c r="B187" s="1" t="s">
        <v>616</v>
      </c>
      <c r="C187" s="1" t="s">
        <v>617</v>
      </c>
      <c r="E187" s="1">
        <v>244</v>
      </c>
    </row>
    <row r="188" spans="1:5" ht="66.599999999999994" thickBot="1" x14ac:dyDescent="0.35">
      <c r="A188" s="1" t="s">
        <v>618</v>
      </c>
      <c r="B188" s="1" t="s">
        <v>619</v>
      </c>
      <c r="C188" s="1" t="s">
        <v>620</v>
      </c>
      <c r="E188" s="1">
        <v>245</v>
      </c>
    </row>
    <row r="189" spans="1:5" ht="79.8" thickBot="1" x14ac:dyDescent="0.35">
      <c r="A189" s="1" t="s">
        <v>621</v>
      </c>
      <c r="B189" s="1" t="s">
        <v>622</v>
      </c>
      <c r="C189" s="1" t="s">
        <v>623</v>
      </c>
      <c r="E189" s="1">
        <v>246</v>
      </c>
    </row>
    <row r="190" spans="1:5" ht="53.4" thickBot="1" x14ac:dyDescent="0.35">
      <c r="A190" s="1" t="s">
        <v>624</v>
      </c>
      <c r="B190" s="1" t="s">
        <v>625</v>
      </c>
      <c r="C190" s="1" t="s">
        <v>626</v>
      </c>
      <c r="E190" s="1">
        <v>247</v>
      </c>
    </row>
    <row r="191" spans="1:5" ht="79.8" thickBot="1" x14ac:dyDescent="0.35">
      <c r="A191" s="1" t="s">
        <v>627</v>
      </c>
      <c r="B191" s="1" t="s">
        <v>628</v>
      </c>
      <c r="C191" s="1" t="s">
        <v>629</v>
      </c>
      <c r="E191" s="1">
        <v>248</v>
      </c>
    </row>
    <row r="192" spans="1:5" ht="79.8" thickBot="1" x14ac:dyDescent="0.35">
      <c r="A192" s="1" t="s">
        <v>630</v>
      </c>
      <c r="B192" s="1" t="s">
        <v>631</v>
      </c>
      <c r="C192" s="1" t="s">
        <v>632</v>
      </c>
      <c r="E192" s="1">
        <v>249</v>
      </c>
    </row>
    <row r="193" spans="1:5" ht="79.8" thickBot="1" x14ac:dyDescent="0.35">
      <c r="A193" s="1" t="s">
        <v>633</v>
      </c>
      <c r="B193" s="1" t="s">
        <v>634</v>
      </c>
      <c r="C193" s="1" t="s">
        <v>635</v>
      </c>
      <c r="E193" s="1">
        <v>250</v>
      </c>
    </row>
    <row r="194" spans="1:5" ht="79.8" thickBot="1" x14ac:dyDescent="0.35">
      <c r="A194" s="1" t="s">
        <v>636</v>
      </c>
      <c r="B194" s="1" t="s">
        <v>637</v>
      </c>
      <c r="C194" s="1" t="s">
        <v>638</v>
      </c>
      <c r="E194" s="1">
        <v>251</v>
      </c>
    </row>
    <row r="195" spans="1:5" ht="79.8" thickBot="1" x14ac:dyDescent="0.35">
      <c r="A195" s="1" t="s">
        <v>639</v>
      </c>
      <c r="B195" s="1" t="s">
        <v>640</v>
      </c>
      <c r="C195" s="1" t="s">
        <v>641</v>
      </c>
      <c r="E195" s="1">
        <v>252</v>
      </c>
    </row>
    <row r="196" spans="1:5" ht="79.8" thickBot="1" x14ac:dyDescent="0.35">
      <c r="A196" s="1" t="s">
        <v>642</v>
      </c>
      <c r="B196" s="1" t="s">
        <v>643</v>
      </c>
      <c r="C196" s="1" t="s">
        <v>644</v>
      </c>
      <c r="E196" s="1">
        <v>253</v>
      </c>
    </row>
    <row r="197" spans="1:5" ht="66.599999999999994" thickBot="1" x14ac:dyDescent="0.35">
      <c r="A197" s="1" t="s">
        <v>645</v>
      </c>
      <c r="B197" s="1" t="s">
        <v>646</v>
      </c>
      <c r="C197" s="1" t="s">
        <v>647</v>
      </c>
      <c r="E197" s="1">
        <v>254</v>
      </c>
    </row>
    <row r="198" spans="1:5" ht="79.8" thickBot="1" x14ac:dyDescent="0.35">
      <c r="A198" s="1" t="s">
        <v>648</v>
      </c>
      <c r="B198" s="1" t="s">
        <v>649</v>
      </c>
      <c r="C198" s="1" t="s">
        <v>650</v>
      </c>
      <c r="E198" s="1">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vt:lpstr>
      <vt:lpstr>2</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 Alberto Samayoa Escobar</dc:creator>
  <cp:lastModifiedBy>Jesus Samayoa</cp:lastModifiedBy>
  <dcterms:created xsi:type="dcterms:W3CDTF">2026-01-25T15:42:25Z</dcterms:created>
  <dcterms:modified xsi:type="dcterms:W3CDTF">2026-01-26T02:21:29Z</dcterms:modified>
</cp:coreProperties>
</file>